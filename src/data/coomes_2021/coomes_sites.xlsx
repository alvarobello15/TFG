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Papers in Progress\1 Archeo sites data\Scientific Data\"/>
    </mc:Choice>
  </mc:AlternateContent>
  <xr:revisionPtr revIDLastSave="0" documentId="13_ncr:1_{FE69FA35-7AA1-40CF-BB71-98D57B718E51}" xr6:coauthVersionLast="45" xr6:coauthVersionMax="45" xr10:uidLastSave="{00000000-0000-0000-0000-000000000000}"/>
  <bookViews>
    <workbookView xWindow="-110" yWindow="-110" windowWidth="19420" windowHeight="10460" xr2:uid="{BDD55822-7E19-43E7-A952-4F5D75E209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alcChain>
</file>

<file path=xl/sharedStrings.xml><?xml version="1.0" encoding="utf-8"?>
<sst xmlns="http://schemas.openxmlformats.org/spreadsheetml/2006/main" count="3579" uniqueCount="816">
  <si>
    <t>Santa Ana I</t>
  </si>
  <si>
    <t>Fernando Lores</t>
  </si>
  <si>
    <t>Maynas</t>
  </si>
  <si>
    <t>Loreto</t>
  </si>
  <si>
    <t>VERA VEREAU, Melina Maribel; y, Rafael CABANILLAS CALDERÓN. 2006. Inventario y registro del Patrimonio Cultural de la Nación: Región Loreto. 136 pp. Informe Final presentado al Programa Qhapaq Ñan. Iquitos, Perú.</t>
  </si>
  <si>
    <t>Quebrada Lobo</t>
  </si>
  <si>
    <t>Vásquez</t>
  </si>
  <si>
    <t>Nauta</t>
  </si>
  <si>
    <t>Buena Unión</t>
  </si>
  <si>
    <t xml:space="preserve"> </t>
  </si>
  <si>
    <t>Aquituare (San Joaquín de Omaguas)</t>
  </si>
  <si>
    <t xml:space="preserve">Fomento </t>
  </si>
  <si>
    <t>Cumapa (San Salvador de Omaguas)</t>
  </si>
  <si>
    <t>Arimuya (Nuevo Independencia)</t>
  </si>
  <si>
    <t xml:space="preserve">Santa Isabel </t>
  </si>
  <si>
    <t>Indiana</t>
  </si>
  <si>
    <t>Fernandito</t>
  </si>
  <si>
    <t>Las Amazonas</t>
  </si>
  <si>
    <t>Colonia San Pablo 1</t>
  </si>
  <si>
    <t>San Pablo</t>
  </si>
  <si>
    <t>Mariscal Ramon Castilla</t>
  </si>
  <si>
    <t>-</t>
  </si>
  <si>
    <t xml:space="preserve">Colonia San Pablo </t>
  </si>
  <si>
    <t>Cementerio Rey de los Muertos</t>
  </si>
  <si>
    <t>Arenal</t>
  </si>
  <si>
    <t>Punchana</t>
  </si>
  <si>
    <t>Zapote</t>
  </si>
  <si>
    <t>Sinchicuy</t>
  </si>
  <si>
    <t>San Juan</t>
  </si>
  <si>
    <t>Iquique</t>
  </si>
  <si>
    <t>Orán</t>
  </si>
  <si>
    <t>Flores</t>
  </si>
  <si>
    <t xml:space="preserve">RIVAS PANDURO, Santiago. 2006. La arqueología de la región Loreto (selva baja de la Amazonía peruana). Estado de la Cuestión. 103 pp. Proyecto Qhapaq Ñan. Informe Final presentado al Instituto Nacional de Cultura. </t>
  </si>
  <si>
    <t>Tamshiyacu</t>
  </si>
  <si>
    <t xml:space="preserve"> Iwatara Ritama Kana</t>
  </si>
  <si>
    <t>VICENTE HUAMANÍ, Rúlfer. 2012. Identificación y delimitación de zonas culturales intangibles. Informe enmarcado dentro del proyecto: “Saneamiento y Titulación de Predios Rurales, para el Desarrollo Alternativo, Integral y Sostenible”. GOREL / DEVIDA. Iquitos, Perú.</t>
  </si>
  <si>
    <t>Paranasima – Nueva Esperanza</t>
  </si>
  <si>
    <t xml:space="preserve">Nuevo Independencia o Independencia  (Evidencias cerámicas A)        </t>
  </si>
  <si>
    <t>Nuevo Independencia o Independencia (Evidencias cerámicas B)</t>
  </si>
  <si>
    <t xml:space="preserve">Independencia  (Evidencias cerámicas C) </t>
  </si>
  <si>
    <t>RIVAS PANDURO, Santiago. 2014. Informe N° 026-2014/AA/MC-DDC-LOR/SRP. Informe de visita al sitio arqueológico localizado en terreno de propiedad de la Marina de Guerra del Perú, colindante con la Comunidad Nativa Independencia, río Amazonas. 6 pp. Informe presentado a la Dirección Desconcentrada de Cultura del Ministerio de Cultura. Iquitos, Perú. // RIVAS PANDURO, Santiago. 2014. Informe N°039-2014 SRP-SD-SDD-PCICI/DDC-LOR/MC. Informe de entrega de plano topográfico de Independencia. 1 pp. Informe presentado a la Dirección Desconcentrada de Cultura del Ministerio de Cultura. Iquitos, Perú.</t>
  </si>
  <si>
    <t>El Pobrecito</t>
  </si>
  <si>
    <t xml:space="preserve">RIVAS PANDURO, Santiago. 2010. Informe N° 032-2010/AA/MC-DRC-L/SRP. Informe de supervisión técnica de campo para constatación del reporte de hallazgos arqueológicos en el Lote 128, del proyecto “Plan de Monitoreo Arqueológico para el programa de estudio y exploración sísmica 2D y perforación de pozos estratigráficos, Lote 128, Loreto”, bajo la dirección del Lic. Fernando Egberto Vicente Vargas Torres. // MURGA PASTOR, Leonardo. 2011. Proyecto de Evaluación Arqueológica de Reconocimiento con Excavaciones Restringidas del Campamento Sub-Base C128-B, río Tamshiyacu, Lote 128. Derivado del “Plan de Monitoreo Arqueológico para el Programa de Estudio y Exploración Sísmica 2D, y Perforación de Pozos Estratigráficos, Lote 128. Loreto”. Informe Final presentado al Ministerio de Cultura. Lima, Perú.  </t>
  </si>
  <si>
    <t xml:space="preserve">Las Lomas </t>
  </si>
  <si>
    <t>San Juan Bautista</t>
  </si>
  <si>
    <t xml:space="preserve">RIVAS PANDURO, Santiago. 2014. Evidencias arqueológicas en la ciudad de Iquitos y su entorno. Cuadro sinóptico. 1 pp. </t>
  </si>
  <si>
    <t>Cementerio San Roque</t>
  </si>
  <si>
    <t>AMA-1</t>
  </si>
  <si>
    <t>Ramon Castilla</t>
  </si>
  <si>
    <t>AMA-2 o Cushillococha 1</t>
  </si>
  <si>
    <t>AMA-3</t>
  </si>
  <si>
    <t>AMA-4</t>
  </si>
  <si>
    <t>AMA-5</t>
  </si>
  <si>
    <t>Alto Nanay 1</t>
  </si>
  <si>
    <t>Alto Nanay</t>
  </si>
  <si>
    <t>Agua Blanca 1</t>
  </si>
  <si>
    <t>Agua Negra 1</t>
  </si>
  <si>
    <t>LO-Q - 001</t>
  </si>
  <si>
    <t>Laguna Quistococha</t>
  </si>
  <si>
    <t>Gen Gen</t>
  </si>
  <si>
    <t>Nuevo Progreso</t>
  </si>
  <si>
    <t>Mangual</t>
  </si>
  <si>
    <t>MZ-01</t>
  </si>
  <si>
    <t>Santa Cruz</t>
  </si>
  <si>
    <t>Mazán</t>
  </si>
  <si>
    <t>MZ-02</t>
  </si>
  <si>
    <t>Huaman Urco</t>
  </si>
  <si>
    <t>MZ-03</t>
  </si>
  <si>
    <t>Cayapoza</t>
  </si>
  <si>
    <t>MZ-04</t>
  </si>
  <si>
    <t>Sucusari</t>
  </si>
  <si>
    <t>MZ-05</t>
  </si>
  <si>
    <t>Mangua</t>
  </si>
  <si>
    <t xml:space="preserve">M.A. Fuerte Pantoja (Sector A)      </t>
  </si>
  <si>
    <t>Torres Causana</t>
  </si>
  <si>
    <t>RIVAS PANDURO, Santiago. 2011. Informe N° 031-2011/AA/MC-DRC-LOR/SRP de la supervisión técnica de campo al proyecto “Plan de Monitoreo Arqueológico en el Sector Norte del Lote 121 en: Campamento Base Logístico Norte Base Pantoja, Campamento Sub Base Logístico Norte Base Arcadia, Construcción de la Plataforma Nashiño 5X y Plataforma Nashiño 6X”. 11 pp. Presentado a la Dirección Desconcentrada de Cultura del Ministerio de Cultura. Iquitos, Perú. // CHAMORRO CASTILLO, Violeta. 2011. Plan de Monitoreo Arqueológico en el Sector Norte del Lote 121 en: Campamento Base Logístico Pantoja, Campamento Subbase Logístico Arcadia, Plataforma Nashiño 5X y Plataforma Nashiño 6X. Maynas, Loreto. 129 pp. Informe Final presentado al Ministerio de Cultura. Lima, Perú. // MURGA PASTOR, Leonardo. 2013. Proyecto de Evaluación Arqueológica con Excavaciones en el Campamento Base Logístico Norte, Base Pantoja, en el Sector Norte del Lote 121. Informe Final presentado al Ministerio de Cultura. Lima, Perú. // MURGA PASTOR, Leonardo. 2013. Proyecto de Evaluación Arqueológica con Excavaciones en el Campamento Base Logístico Norte, Base Pantoja, en el Sector Norte del Lote 121. 67 pp. Adenda del Informe Final presentada al Ministerio de Cultura. Lima, Perú. // ARROYO-KALIN, Manuel; y Santiago RIVAS PANDURO. 2013. Informe N° 001 2013 / EARN / SRP / MA-K,  de la “Exploración Arqueológica por el río Napo. Amazonía peruana”. 24 pp. Informe presentado a la Dirección Desconcentrada de Cultura de Loreto del Ministerio de Cultura. Iquitos, Perú.</t>
  </si>
  <si>
    <t>M.A. Fuerte Pantoja (Sector B)</t>
  </si>
  <si>
    <t>M.A. Paché</t>
  </si>
  <si>
    <t>M.A. Vencedores</t>
  </si>
  <si>
    <t>M.A. Tempestad</t>
  </si>
  <si>
    <t>M.A. Angoteros Pampa</t>
  </si>
  <si>
    <t>M.A. Chacra Horizonte</t>
  </si>
  <si>
    <t>Napo</t>
  </si>
  <si>
    <t>M.A. San Felipe Escuela</t>
  </si>
  <si>
    <t xml:space="preserve">M.A. Negro Urco (zona A)        </t>
  </si>
  <si>
    <t>M.A. Negro Urco (zona B)</t>
  </si>
  <si>
    <t>SA-3</t>
  </si>
  <si>
    <t>Nashiño</t>
  </si>
  <si>
    <t>SA-1</t>
  </si>
  <si>
    <t xml:space="preserve">Buena Vista </t>
  </si>
  <si>
    <t>SA-2</t>
  </si>
  <si>
    <t>Flor de Coco</t>
  </si>
  <si>
    <t>Buena Vista Viejo</t>
  </si>
  <si>
    <t>Petrona  Isla</t>
  </si>
  <si>
    <t>Acta de donación Prof. Carlos Alfredo Garcia Cordova del 06-10-2014</t>
  </si>
  <si>
    <t>M.A. Sirena del Aguarico</t>
  </si>
  <si>
    <t>M.A. San Rafael</t>
  </si>
  <si>
    <t>M.A. Chacra Figueroa</t>
  </si>
  <si>
    <t>LO-PUTU-001</t>
  </si>
  <si>
    <t>Sábalo</t>
  </si>
  <si>
    <t>Putumayo</t>
  </si>
  <si>
    <t>RIVAS PANDURO, Santiago. 2006. La arqueología de la región Loreto (selva baja de la Amazonía peruana). Estado de la Cuestión. 103 pp. Proyecto Qhapaq Ñan. Informe Final presentado al Instituto Nacional de Cultura. Iquitos, Perú</t>
  </si>
  <si>
    <t>LO-PUTU-002</t>
  </si>
  <si>
    <t>Alfonso Ugarte 2</t>
  </si>
  <si>
    <t>LO-PUTU-003</t>
  </si>
  <si>
    <t>Alfonso Ugarte</t>
  </si>
  <si>
    <t>LO-PUTU-004</t>
  </si>
  <si>
    <t>Bellavista</t>
  </si>
  <si>
    <t>Teniente Manuel Clavero</t>
  </si>
  <si>
    <t>LO-PUTU-005</t>
  </si>
  <si>
    <t>Soplín Vargas 1</t>
  </si>
  <si>
    <t>LO-PUTU-006</t>
  </si>
  <si>
    <t>Soplín Vargas 2</t>
  </si>
  <si>
    <t>LO-MAR-001</t>
  </si>
  <si>
    <t>Tigre Playa</t>
  </si>
  <si>
    <t>Pastaza</t>
  </si>
  <si>
    <t>Alto Amazonas</t>
  </si>
  <si>
    <t>LOR-01</t>
  </si>
  <si>
    <t>San Regis</t>
  </si>
  <si>
    <t>Tuyuka Pata o 23 de Junio</t>
  </si>
  <si>
    <t>Villa Cruzadores</t>
  </si>
  <si>
    <t>LOR-04</t>
  </si>
  <si>
    <t>Unqu Mayu</t>
  </si>
  <si>
    <t>Villa Cristiana</t>
  </si>
  <si>
    <t>LOR-06</t>
  </si>
  <si>
    <t>Ipuku</t>
  </si>
  <si>
    <t>LOR-07</t>
  </si>
  <si>
    <t>Ukara</t>
  </si>
  <si>
    <t>NAU-01</t>
  </si>
  <si>
    <t>Sara Goza</t>
  </si>
  <si>
    <t>NAU-02</t>
  </si>
  <si>
    <t>Gasparito</t>
  </si>
  <si>
    <t>NAU-03</t>
  </si>
  <si>
    <t>Santa Rita</t>
  </si>
  <si>
    <t>NAU-04</t>
  </si>
  <si>
    <t>Nueve de Octubre</t>
  </si>
  <si>
    <t>NAU-05</t>
  </si>
  <si>
    <t>Yame Pata</t>
  </si>
  <si>
    <t>Nuevo San Juan</t>
  </si>
  <si>
    <t>Urarinas</t>
  </si>
  <si>
    <t>San Gabriel</t>
  </si>
  <si>
    <t>Victoria</t>
  </si>
  <si>
    <t>Berlín</t>
  </si>
  <si>
    <t>18 de Julio</t>
  </si>
  <si>
    <t>Huallpa Isla</t>
  </si>
  <si>
    <t>Buenos Aires</t>
  </si>
  <si>
    <t>Nueva Elvira</t>
  </si>
  <si>
    <t>San José de Saramuro</t>
  </si>
  <si>
    <t>San Pedro de Maipuco</t>
  </si>
  <si>
    <t>Nueva Esperanza</t>
  </si>
  <si>
    <t>LO-MAR-SROS-01</t>
  </si>
  <si>
    <t>Nueva Santa Rosa o Santa Rosa</t>
  </si>
  <si>
    <t>Santa Teresa</t>
  </si>
  <si>
    <t>LO-MAR-CUN-02</t>
  </si>
  <si>
    <t>Cuninico</t>
  </si>
  <si>
    <t>Maipuco</t>
  </si>
  <si>
    <t>AICHI 1</t>
  </si>
  <si>
    <t>La Cueva del Pongo</t>
  </si>
  <si>
    <t>Barranca</t>
  </si>
  <si>
    <t>Nolo del Parinari</t>
  </si>
  <si>
    <t>RIVAS PANDURO, Santiago. 2010. Informe de viaje realizado a la Reserva Pacaya Samiria. 8 pp. Manuscrito. Iquitos, Perú.</t>
  </si>
  <si>
    <t>LO-MAR-SPED-03</t>
  </si>
  <si>
    <t>San Pedro</t>
  </si>
  <si>
    <t>LO-MAR-EGUA-05</t>
  </si>
  <si>
    <t>El Guacamayal</t>
  </si>
  <si>
    <t>LO-MAR-VAC-06</t>
  </si>
  <si>
    <t>Vacapongo</t>
  </si>
  <si>
    <t>Zapotal</t>
  </si>
  <si>
    <t>Ayahuascal</t>
  </si>
  <si>
    <t>Parinari</t>
  </si>
  <si>
    <t>Chambira</t>
  </si>
  <si>
    <t>Salvavidas del Uiuri</t>
  </si>
  <si>
    <t>PV 4 Pithecia</t>
  </si>
  <si>
    <t>PV 5 Santa Elena</t>
  </si>
  <si>
    <t>PV 7 Camonal o Camotal</t>
  </si>
  <si>
    <t>PV 8 Tibilo</t>
  </si>
  <si>
    <t>PV 9 Dos de Mayo del Samiria</t>
  </si>
  <si>
    <t>Requena</t>
  </si>
  <si>
    <t>Valencia</t>
  </si>
  <si>
    <t>Trompeteros</t>
  </si>
  <si>
    <t>S-CORR-1</t>
  </si>
  <si>
    <t>Platanoyacu</t>
  </si>
  <si>
    <t>Carmen 1</t>
  </si>
  <si>
    <t>Carmen 2</t>
  </si>
  <si>
    <t>Tigre</t>
  </si>
  <si>
    <t>Carmen 3</t>
  </si>
  <si>
    <t>PLUS PETROL NORTE SA &amp; WALSH PERÚ SA. 2007. Mapa de sitios arqueológicos del proyecto EIA Proyecto 20 Pozos de Desarrollo y Construcción de Facilidades de Producción Lote 1AB. Datum WGS 84, Zona 18 S, Escala 1/600 000</t>
  </si>
  <si>
    <t>Carmen 4</t>
  </si>
  <si>
    <t>Carmen 5</t>
  </si>
  <si>
    <t>Carmen 6</t>
  </si>
  <si>
    <t>Florestal</t>
  </si>
  <si>
    <t>Shiviyacu</t>
  </si>
  <si>
    <t>Quebrada Lupunayo</t>
  </si>
  <si>
    <t>Boca de Copal</t>
  </si>
  <si>
    <t>S.A. 06</t>
  </si>
  <si>
    <t>Campamento Base 1</t>
  </si>
  <si>
    <t>WALSH PERÚ. 2008. Ficha de Registro de Sitio Arqueológico para los EIAS para el Programa de Prospección Sísmica 2D y Construcción de los Campamentos Bases Logísticos para las Operaciones del Lote 127, para CEPSA. Anexo 3-1 al 3-22 / 22 pp. Lima, Perú</t>
  </si>
  <si>
    <t>S.A. 08</t>
  </si>
  <si>
    <t>Boca de Copal 1</t>
  </si>
  <si>
    <t>S.A. 09</t>
  </si>
  <si>
    <t>Boca de Copal 2</t>
  </si>
  <si>
    <t>S.A. 10</t>
  </si>
  <si>
    <t>Santa Isabel de Copal</t>
  </si>
  <si>
    <t>S.A. 11</t>
  </si>
  <si>
    <t>Quebrada Shimbillo</t>
  </si>
  <si>
    <t>LO-COR-SROS-02</t>
  </si>
  <si>
    <t>Santa Rosa</t>
  </si>
  <si>
    <t>LO-COR-COP1-03</t>
  </si>
  <si>
    <t>Copal 1</t>
  </si>
  <si>
    <t>LO-COR-COP2-04</t>
  </si>
  <si>
    <t>Copal 2</t>
  </si>
  <si>
    <t>LO-COR-NTRI-05</t>
  </si>
  <si>
    <t>Nuevo Triunfo 1</t>
  </si>
  <si>
    <t>LO-COR-NTRI-06</t>
  </si>
  <si>
    <t>Nuevo Triunfo 2</t>
  </si>
  <si>
    <t>LO-COR-NTRI-07</t>
  </si>
  <si>
    <t>Nuevo Triunfo 3</t>
  </si>
  <si>
    <t>LO-COR-SELE-08</t>
  </si>
  <si>
    <t>Santa Elena</t>
  </si>
  <si>
    <t>LO-COR-CUCH-10</t>
  </si>
  <si>
    <t>Cuchara 1</t>
  </si>
  <si>
    <t>LO-COR-CUCH-11</t>
  </si>
  <si>
    <t>Cuchara 2</t>
  </si>
  <si>
    <t>Belén</t>
  </si>
  <si>
    <t>LO-TIG-PIU-07</t>
  </si>
  <si>
    <t>Piura</t>
  </si>
  <si>
    <t>LO-TIG-PRO-05</t>
  </si>
  <si>
    <t>Río Tigre 1 o Providencia</t>
  </si>
  <si>
    <t>Intutillo 1</t>
  </si>
  <si>
    <t>Aucayacu 1</t>
  </si>
  <si>
    <t>TRN-011</t>
  </si>
  <si>
    <t>Bolognesi</t>
  </si>
  <si>
    <t>TRN-013</t>
  </si>
  <si>
    <t>Lamas Tipishca (Nuevo Canaan)</t>
  </si>
  <si>
    <t>TRN-003</t>
  </si>
  <si>
    <t>TRN-004</t>
  </si>
  <si>
    <t>San Jorge</t>
  </si>
  <si>
    <t>TRN-005</t>
  </si>
  <si>
    <t>Pavayacu</t>
  </si>
  <si>
    <t>TRN-007</t>
  </si>
  <si>
    <t>Puerto Intuto</t>
  </si>
  <si>
    <t>TRN-009</t>
  </si>
  <si>
    <t>Quebrada Intuto</t>
  </si>
  <si>
    <t>LO-TIG-ELAL-01</t>
  </si>
  <si>
    <t>El Alto</t>
  </si>
  <si>
    <t>LO-TIG-LPUN-02</t>
  </si>
  <si>
    <t>La Punta - Pinshacocha</t>
  </si>
  <si>
    <t>LO-TIG-28JUL-03</t>
  </si>
  <si>
    <t>28 de Julio</t>
  </si>
  <si>
    <t>LO-TIG-SOL-08</t>
  </si>
  <si>
    <t>Solima</t>
  </si>
  <si>
    <t>Gonzalo Tuy Tuy</t>
  </si>
  <si>
    <t>Fundo Barranquita</t>
  </si>
  <si>
    <t>Yarina del Yanayacu</t>
  </si>
  <si>
    <t>Kuwait</t>
  </si>
  <si>
    <t>Manseriche</t>
  </si>
  <si>
    <t>Nuevo Lima</t>
  </si>
  <si>
    <t>Santa Martha</t>
  </si>
  <si>
    <t>Santa Beatriz</t>
  </si>
  <si>
    <t>Chacra Mariano</t>
  </si>
  <si>
    <t>Puerto Juanico</t>
  </si>
  <si>
    <t>Nueva Esperanza 1</t>
  </si>
  <si>
    <t>Nueva Esperanza 2</t>
  </si>
  <si>
    <t>Nueva Esperanza 3</t>
  </si>
  <si>
    <t>Nueva Esperanza 4</t>
  </si>
  <si>
    <t>Nueva Esperanza 5</t>
  </si>
  <si>
    <t>Nueva Esperanza 6</t>
  </si>
  <si>
    <t>Nueva Esperanza 7</t>
  </si>
  <si>
    <t>San Jorge 1</t>
  </si>
  <si>
    <t>San Jorge 2</t>
  </si>
  <si>
    <t>San Jorge 3</t>
  </si>
  <si>
    <t>San Jorge 4</t>
  </si>
  <si>
    <t>Nueva Angora 1</t>
  </si>
  <si>
    <t>Nueva Angora 2</t>
  </si>
  <si>
    <t>Nueva Angora 3</t>
  </si>
  <si>
    <t>Nueva Angora 4</t>
  </si>
  <si>
    <t>Pucayacu 1</t>
  </si>
  <si>
    <t>Pucayacu 2</t>
  </si>
  <si>
    <t>Pucayacu 3</t>
  </si>
  <si>
    <t>Tres Fronteras</t>
  </si>
  <si>
    <t>Santa Cruz de Tagual</t>
  </si>
  <si>
    <t>Santa Rosa de Aerico</t>
  </si>
  <si>
    <t>S.A. 01</t>
  </si>
  <si>
    <t>Santa Cruz 1</t>
  </si>
  <si>
    <t>WALSH PERÚ. 2008. Ficha de Registro de Sitio Arqueológico para los EIAS para el Programa de Prospección Sísmica 2D y Construcción de los Campamentos Bases Logísticos para las Operaciones del Lote 127, para CEPSA. Anexo 3-1 al 3-22 / 22 pp. Lima, Perú.</t>
  </si>
  <si>
    <t>S.A. 02</t>
  </si>
  <si>
    <t>Santa Cruz 2</t>
  </si>
  <si>
    <t>S.A. 03</t>
  </si>
  <si>
    <t>Santa Cruz 3</t>
  </si>
  <si>
    <t>S.A. 04</t>
  </si>
  <si>
    <t>Santa Rosa del Chambira 1</t>
  </si>
  <si>
    <t>S.A. 05</t>
  </si>
  <si>
    <t>Santa Rosa del Chambira 2</t>
  </si>
  <si>
    <t>S.A. 07</t>
  </si>
  <si>
    <t>28 de Julio del Chambira</t>
  </si>
  <si>
    <t>Nueva Alianza</t>
  </si>
  <si>
    <t>URI-1</t>
  </si>
  <si>
    <t>Urituyacu - Linea 4</t>
  </si>
  <si>
    <t>URI-2</t>
  </si>
  <si>
    <t>Montículo</t>
  </si>
  <si>
    <t>URI-3</t>
  </si>
  <si>
    <t>Cachuela Solimar</t>
  </si>
  <si>
    <t>URI-4</t>
  </si>
  <si>
    <t>Zapallar</t>
  </si>
  <si>
    <t>URI-5A</t>
  </si>
  <si>
    <t>Helipuerto Bell 212</t>
  </si>
  <si>
    <t>URI-5B</t>
  </si>
  <si>
    <t>URI-6</t>
  </si>
  <si>
    <t>Helipuerto de Recarga</t>
  </si>
  <si>
    <t>URI-7</t>
  </si>
  <si>
    <t>San Juan de Abejaico</t>
  </si>
  <si>
    <t>LO-MOR-01</t>
  </si>
  <si>
    <t xml:space="preserve">Puerto Alegría </t>
  </si>
  <si>
    <t>Morona</t>
  </si>
  <si>
    <t>LO-MOR-02</t>
  </si>
  <si>
    <t xml:space="preserve">Santa Rosa </t>
  </si>
  <si>
    <t>LO-MOR-03</t>
  </si>
  <si>
    <t xml:space="preserve">Patria Nueva </t>
  </si>
  <si>
    <t>LO-MOR-04</t>
  </si>
  <si>
    <t xml:space="preserve">La Luna </t>
  </si>
  <si>
    <t>LO-MOR-05</t>
  </si>
  <si>
    <t xml:space="preserve">Chacra Nazareth </t>
  </si>
  <si>
    <t>LO-MOR-06</t>
  </si>
  <si>
    <t>Unanchay</t>
  </si>
  <si>
    <t>LO-MOR-07</t>
  </si>
  <si>
    <t xml:space="preserve">Musa Kandashi </t>
  </si>
  <si>
    <t>LO-MOR-08</t>
  </si>
  <si>
    <t>Tipishcacocha</t>
  </si>
  <si>
    <t>LO-MOR-09</t>
  </si>
  <si>
    <t xml:space="preserve">Chacra Caballito </t>
  </si>
  <si>
    <t>LO-MOR-10</t>
  </si>
  <si>
    <t>Bagazán</t>
  </si>
  <si>
    <t>LO-MOR-11</t>
  </si>
  <si>
    <t xml:space="preserve">Chacra Fortaleza </t>
  </si>
  <si>
    <t>LO-MOR-12</t>
  </si>
  <si>
    <t>Tigreyacu</t>
  </si>
  <si>
    <t>LO-MOR-13</t>
  </si>
  <si>
    <t>Shinguito</t>
  </si>
  <si>
    <t>LO-MOR-14</t>
  </si>
  <si>
    <t xml:space="preserve">Chacra Kusuimi </t>
  </si>
  <si>
    <t>LO-MOR-15</t>
  </si>
  <si>
    <t>Shapaja</t>
  </si>
  <si>
    <t>LO-MOR-16</t>
  </si>
  <si>
    <t xml:space="preserve">Nueva Alegría </t>
  </si>
  <si>
    <t>LO-MOR-17</t>
  </si>
  <si>
    <t xml:space="preserve">Lomas del Triunfo </t>
  </si>
  <si>
    <t>LO-MOR-19</t>
  </si>
  <si>
    <t xml:space="preserve">Santa Cruz </t>
  </si>
  <si>
    <t>LO-MOR-20</t>
  </si>
  <si>
    <t xml:space="preserve">San Juan del Morona </t>
  </si>
  <si>
    <t>BRA-1</t>
  </si>
  <si>
    <t>Brasilia</t>
  </si>
  <si>
    <t>Yanguntza o Yankunza</t>
  </si>
  <si>
    <t>Yankuntich</t>
  </si>
  <si>
    <t>El Triunfo o Triunfo</t>
  </si>
  <si>
    <t>Katiranaentsa o Katirenza</t>
  </si>
  <si>
    <t>Vargas Guerra</t>
  </si>
  <si>
    <t>Base Militar Sargento Puño</t>
  </si>
  <si>
    <t>LO-MOR-18</t>
  </si>
  <si>
    <t>Shinkatan</t>
  </si>
  <si>
    <t>Panintsa</t>
  </si>
  <si>
    <t>Unkum</t>
  </si>
  <si>
    <t>LO-PT-001</t>
  </si>
  <si>
    <t>Huagramona</t>
  </si>
  <si>
    <t>Andoas</t>
  </si>
  <si>
    <t>LO-PT-002</t>
  </si>
  <si>
    <t xml:space="preserve">Andoas Viejo </t>
  </si>
  <si>
    <t>LO-PTZ-SAB-12</t>
  </si>
  <si>
    <t>Nuevo Sabaloyacu o Sabaloyacu</t>
  </si>
  <si>
    <t>Quebrada Anisetuy</t>
  </si>
  <si>
    <t>Quebrada Martina</t>
  </si>
  <si>
    <t>Purmamayna</t>
  </si>
  <si>
    <t>Punta Pardo o Puerto Pardo</t>
  </si>
  <si>
    <t>LO-PTZ-SAB-12A</t>
  </si>
  <si>
    <t>WALSH PERÚ. 2006. Estudio de Impacto Ambiental y Social de la Prospección Sísmica 3D Perforación Exploratoria del Lote 101. Volumen IV: Línea Base Arqueológica, para la empresa Talisman Energy. 20 pp. Lima, Perú.</t>
  </si>
  <si>
    <t>San Luis</t>
  </si>
  <si>
    <t>Boca del Loboyacu</t>
  </si>
  <si>
    <t>Terraza Zungache</t>
  </si>
  <si>
    <t>Yanayacu</t>
  </si>
  <si>
    <t>Pirum</t>
  </si>
  <si>
    <t>Punto de Muestreo 2</t>
  </si>
  <si>
    <t>Punto de Muestreo 3</t>
  </si>
  <si>
    <t>Punto de Muestreo 5</t>
  </si>
  <si>
    <t>Campamento Base Alternativo</t>
  </si>
  <si>
    <t>Pozo Exploratorio 1X Runtusapa</t>
  </si>
  <si>
    <t>Terraza Chumbe</t>
  </si>
  <si>
    <t>Naranjal</t>
  </si>
  <si>
    <t>Quebrada María</t>
  </si>
  <si>
    <t>LO-PTZ-VOL-6</t>
  </si>
  <si>
    <t>Volante 4</t>
  </si>
  <si>
    <t>Bahía</t>
  </si>
  <si>
    <t>Capahuari</t>
  </si>
  <si>
    <t>Pañayacu</t>
  </si>
  <si>
    <t>LO-PTZ-ATOP-7</t>
  </si>
  <si>
    <t>Alianza Topal</t>
  </si>
  <si>
    <t>Nuevo Andoas – Los Jardines</t>
  </si>
  <si>
    <t>Tunigrama (PV Tunigrama)</t>
  </si>
  <si>
    <t>Memorando N° 1414-2010-DA-DREPH/INC, listado de monumentos arqueológicos aprobados mediante Acuerdo Técnico, pendientes de la emisión de su Resolución Directoral Nacional. // GEMA. 2006. Estudio de Línea Base Social del EIA Perforación de seis (06) pozos exploratorios – Lote 102, para la empresa Ramshorn. 111 pp. Lima, Perú.</t>
  </si>
  <si>
    <t>Tunigrama</t>
  </si>
  <si>
    <t>GEMA. 2006. Estudio de Línea Base Social del EIA Perforación de seis (06) pozos exploratorios – Lote 102, para la empresa Ramshorn. 111 pp. Lima, Perú.</t>
  </si>
  <si>
    <t>Tahuanguro</t>
  </si>
  <si>
    <t>Bobonaza (PV Bobonaza)</t>
  </si>
  <si>
    <t>Memorando N° 1414-2010-DA-DREPH/INC, listado de monumentos arqueológicos aprobados mediante Acuerdo Técnico, pendientes de la emisión de su Resolución Directoral Nacional // GEMA. 2006. Estudio de Línea Base Social del EIA Perforación de seis (06) pozos exploratorios – Lote 102, para la empresa Ramshorn. 111 pp. Lima, Perú.</t>
  </si>
  <si>
    <t>LO-PTZ-AYM-01</t>
  </si>
  <si>
    <t>Aymentsa</t>
  </si>
  <si>
    <t>LO-PTZ-HUA-02</t>
  </si>
  <si>
    <t>Huararay</t>
  </si>
  <si>
    <t>LO-PTZ-TIT-03</t>
  </si>
  <si>
    <t>Titiyacu</t>
  </si>
  <si>
    <t>LO-PTZ-LBRI-04</t>
  </si>
  <si>
    <t>Los Brillantes</t>
  </si>
  <si>
    <t>LO-PTZ-NAND-05</t>
  </si>
  <si>
    <t>Nuevo Andoas</t>
  </si>
  <si>
    <t>LO-PTZ-ACAP-8</t>
  </si>
  <si>
    <t>Alianza Capahuari</t>
  </si>
  <si>
    <t>LO-PTZ-AVI1-09</t>
  </si>
  <si>
    <t>Andoas Viejo 1</t>
  </si>
  <si>
    <t>LO-PTZ-NAR-11</t>
  </si>
  <si>
    <t>LO-PTZ-LOB-13</t>
  </si>
  <si>
    <t>Loboyacu</t>
  </si>
  <si>
    <t>LO-CHAP-01</t>
  </si>
  <si>
    <t xml:space="preserve">Puerto Belén </t>
  </si>
  <si>
    <t>LO-CHAP-02</t>
  </si>
  <si>
    <t xml:space="preserve">Nuevo Yarina </t>
  </si>
  <si>
    <t>LO-CHAP-03</t>
  </si>
  <si>
    <t>Sumbachicocha</t>
  </si>
  <si>
    <t>LO-CHAP-04</t>
  </si>
  <si>
    <t>Hifco</t>
  </si>
  <si>
    <t>LO-CHAP-05</t>
  </si>
  <si>
    <t xml:space="preserve">Puerto Egipto </t>
  </si>
  <si>
    <t>LO-CHAP-06</t>
  </si>
  <si>
    <t xml:space="preserve">Caimito del Chapuli </t>
  </si>
  <si>
    <t>LO-CHAP-07</t>
  </si>
  <si>
    <t xml:space="preserve">Quebrada Mashingashi </t>
  </si>
  <si>
    <t>LO-CHAP-08</t>
  </si>
  <si>
    <t xml:space="preserve">Tangana-Barranquillo </t>
  </si>
  <si>
    <t>LO-CHAP-09</t>
  </si>
  <si>
    <t xml:space="preserve">San Ramón </t>
  </si>
  <si>
    <t>LO-CHAP-10</t>
  </si>
  <si>
    <t xml:space="preserve">Nuevo Belén </t>
  </si>
  <si>
    <t>LO-CHAP-11</t>
  </si>
  <si>
    <t>Domingococha</t>
  </si>
  <si>
    <t>LO-CHAP-12</t>
  </si>
  <si>
    <t xml:space="preserve">Huambracocha 1 </t>
  </si>
  <si>
    <t>LO-CHAP-13</t>
  </si>
  <si>
    <t>Huambracocha 2</t>
  </si>
  <si>
    <t>LO-CHUI-01</t>
  </si>
  <si>
    <t xml:space="preserve">Puerto Requena </t>
  </si>
  <si>
    <t>LO-HUI-01</t>
  </si>
  <si>
    <t xml:space="preserve">Nuevo Progreso </t>
  </si>
  <si>
    <t>LO-HUI-02</t>
  </si>
  <si>
    <t xml:space="preserve">Nuevo Ucayali </t>
  </si>
  <si>
    <t>LO-HUI-03</t>
  </si>
  <si>
    <t>Pijuayal</t>
  </si>
  <si>
    <t>LO-HUI-04</t>
  </si>
  <si>
    <t>Chambira del Huitoyacu (Sector A)</t>
  </si>
  <si>
    <t>Chambira del Huitoyacu (Sector B)</t>
  </si>
  <si>
    <t>LO-HUI-05</t>
  </si>
  <si>
    <t>Hortenciacocha</t>
  </si>
  <si>
    <t>LO-MAN-001</t>
  </si>
  <si>
    <t>Manchari 1</t>
  </si>
  <si>
    <t>LO-MAN-002</t>
  </si>
  <si>
    <t>Manchari 2</t>
  </si>
  <si>
    <t>LO-MAN-003</t>
  </si>
  <si>
    <t xml:space="preserve">Cocha Turiqui </t>
  </si>
  <si>
    <t>LO-MAN-004</t>
  </si>
  <si>
    <t xml:space="preserve">Cocha Tangarana </t>
  </si>
  <si>
    <t>LO-MAN-005</t>
  </si>
  <si>
    <t>Manchari 3</t>
  </si>
  <si>
    <t>LO-MAN-006</t>
  </si>
  <si>
    <t xml:space="preserve">Manchari 4 </t>
  </si>
  <si>
    <t>LO-MAN-007</t>
  </si>
  <si>
    <t xml:space="preserve">Manchari 5 </t>
  </si>
  <si>
    <t>LO-MAN-008</t>
  </si>
  <si>
    <t xml:space="preserve">Santa María </t>
  </si>
  <si>
    <t>LO-MAN-009</t>
  </si>
  <si>
    <t xml:space="preserve">Puerto Alegre </t>
  </si>
  <si>
    <t>LO-MAN-010</t>
  </si>
  <si>
    <t xml:space="preserve">Manchari 6 </t>
  </si>
  <si>
    <t>LO-HS-001</t>
  </si>
  <si>
    <t xml:space="preserve">Cocha Antonieta </t>
  </si>
  <si>
    <t>LO-HS-003</t>
  </si>
  <si>
    <t>Anatico 1</t>
  </si>
  <si>
    <t>LO-HS-004 //             LO-HUA-ACRI-17 // LO-HUA-ACRI-17C</t>
  </si>
  <si>
    <t>LO-HS-005</t>
  </si>
  <si>
    <t>Anatico</t>
  </si>
  <si>
    <t>LO-HUA-AANA-15</t>
  </si>
  <si>
    <t>Achuar Anatico</t>
  </si>
  <si>
    <t>Kamihum</t>
  </si>
  <si>
    <t>Huashintsa, o Washientsa</t>
  </si>
  <si>
    <t>Nuevo Edén 1-L41</t>
  </si>
  <si>
    <t>Ucayali</t>
  </si>
  <si>
    <t>Resolución Viceministerial N° 440-2011-VMPCIC-MC</t>
  </si>
  <si>
    <t>Nuevo Edén 2-L41</t>
  </si>
  <si>
    <t>SALV-1</t>
  </si>
  <si>
    <t>San Salvador</t>
  </si>
  <si>
    <t>Cachique</t>
  </si>
  <si>
    <t>Inahuaya</t>
  </si>
  <si>
    <t>UCA-29</t>
  </si>
  <si>
    <t>UCA-30</t>
  </si>
  <si>
    <t>Aguas Calientes</t>
  </si>
  <si>
    <t>PAU-1</t>
  </si>
  <si>
    <t>Ruinas del Pauya</t>
  </si>
  <si>
    <t>Pampa Hermosa</t>
  </si>
  <si>
    <t>Miguel Grau</t>
  </si>
  <si>
    <t>Sarayacu</t>
  </si>
  <si>
    <t>2010. WALSH PERÚ. Línea Base Arqueológica del EIA Prospección Sísmica 2D y Perforación Exploratoria - Lotes 134 y 158. Talisman Energy. 16 pp. Lima, Perú. // Murga 2010</t>
  </si>
  <si>
    <t>Cruz Molluna</t>
  </si>
  <si>
    <t>Alfredo Vargas Guerra</t>
  </si>
  <si>
    <t>2010. WALSH PERÚ. Línea Base Arqueológica del EIA Prospección Sísmica 2D y Perforación Exploratoria - Lotes 134 y 158. Talisman Energy. 16 pp. Lima, Perú. // Resolución Viceministerial N° 227-2010-VMPCIC-MC // Murga, 2010</t>
  </si>
  <si>
    <t>Víctor Raúl</t>
  </si>
  <si>
    <t>Emilio San Martín</t>
  </si>
  <si>
    <t>2010. WALSH PERÚ. Línea Base Arqueológica del EIA Prospección Sísmica 2D y Perforación Exploratoria - Lotes 134 y 158. Talisman Energy. 16 pp. Lima, Perú.</t>
  </si>
  <si>
    <t>Mállame</t>
  </si>
  <si>
    <t>Buncunya</t>
  </si>
  <si>
    <t>Maximiliano</t>
  </si>
  <si>
    <t>Pinedo</t>
  </si>
  <si>
    <t>Betania</t>
  </si>
  <si>
    <t>Huacrachiro</t>
  </si>
  <si>
    <t>Puinahua</t>
  </si>
  <si>
    <t>UCA-27</t>
  </si>
  <si>
    <t>Contamana</t>
  </si>
  <si>
    <t>PVC Yanayacu</t>
  </si>
  <si>
    <t>PV2 Yarina</t>
  </si>
  <si>
    <t>PV5 Alfaro del Pacaya</t>
  </si>
  <si>
    <t>Hua 80-1</t>
  </si>
  <si>
    <t>Achual Tipishca (Hua 80-1)</t>
  </si>
  <si>
    <t>Lagunas</t>
  </si>
  <si>
    <t>Hua 80-2</t>
  </si>
  <si>
    <t>Yarinal (Hua 80-2)</t>
  </si>
  <si>
    <t>Hua 80-3</t>
  </si>
  <si>
    <t>Cocha Paranapura</t>
  </si>
  <si>
    <t>Yurimaguas</t>
  </si>
  <si>
    <t>Cocha Paranapura 2</t>
  </si>
  <si>
    <t>LO-CACHI-28</t>
  </si>
  <si>
    <t>Munichis</t>
  </si>
  <si>
    <t>LO-CACHI-01 / ARQ 01-A</t>
  </si>
  <si>
    <t>AA Balsapuerto 1 (Sectores A,B,C,D,E,F,G) / Sector D o Santa Rosa</t>
  </si>
  <si>
    <t>Balsapuerto</t>
  </si>
  <si>
    <t>LO-CACHI-02 / ARQ-02A</t>
  </si>
  <si>
    <t>AA Balsapuerto 2, o San Jorge</t>
  </si>
  <si>
    <t>LO-CACHI-03</t>
  </si>
  <si>
    <t>AA Balsapuerto 3</t>
  </si>
  <si>
    <t>LO-CACHI-04</t>
  </si>
  <si>
    <t>AA Balsapuerto 4</t>
  </si>
  <si>
    <t>LO-CACHI-05</t>
  </si>
  <si>
    <t>AA Nuevo Pintuyacu, o Pintuyacu</t>
  </si>
  <si>
    <t>LO-CACHI-06</t>
  </si>
  <si>
    <t>AA Nuevo Junín</t>
  </si>
  <si>
    <t>LO-CACHI-07</t>
  </si>
  <si>
    <t>AA Nuevo Barranquita, o Montículo Barranquita</t>
  </si>
  <si>
    <t>AA Laguna del Cachiyacu Colorado</t>
  </si>
  <si>
    <t>LO-CACHI-08</t>
  </si>
  <si>
    <t>RP Shapajilla 2</t>
  </si>
  <si>
    <t>RP Shapajilla 1</t>
  </si>
  <si>
    <t>LO-CACHI-09</t>
  </si>
  <si>
    <t>RP Casa de Cumpanamá (también es RTL)</t>
  </si>
  <si>
    <t>LO-CACHI-10</t>
  </si>
  <si>
    <t>RP Cocina de Cumpanamá (también es RTL)</t>
  </si>
  <si>
    <t>LO-CACHI-11</t>
  </si>
  <si>
    <t>RP Cachiyacu 1</t>
  </si>
  <si>
    <t>RP Cachiyacu 2</t>
  </si>
  <si>
    <t>LO-CACHI-12 / ARQ-03A</t>
  </si>
  <si>
    <t>RP Ojeyacu 1, o Tunu Icha</t>
  </si>
  <si>
    <t>LO-CACHI-13</t>
  </si>
  <si>
    <t>RP Ojeyacu 2</t>
  </si>
  <si>
    <t>LO-CACHI-14</t>
  </si>
  <si>
    <t>RP Ojeyacu 3</t>
  </si>
  <si>
    <t>LO-CACHI-15</t>
  </si>
  <si>
    <t>RP Ojeyacu 4</t>
  </si>
  <si>
    <t>LO-CACHI-16</t>
  </si>
  <si>
    <t>RP Ojeyacu 5</t>
  </si>
  <si>
    <t>RTL Ojeyacu 6 [RTL I]</t>
  </si>
  <si>
    <t>RTL Ojeyacu 7 [RTL II]</t>
  </si>
  <si>
    <t>RTL Ojeyacu 8 [RTL III]</t>
  </si>
  <si>
    <t>RTL Ojeyacu 9 [RTL IV]</t>
  </si>
  <si>
    <t>RTL Ojeyacu 10 [RTL V]</t>
  </si>
  <si>
    <t>RTL Ojeyacu 11 [RTL VI]</t>
  </si>
  <si>
    <t>RTL Ojeyacu 12 [RTL VII]</t>
  </si>
  <si>
    <t>RTL Ojeyacu 13 [RTL VIII]</t>
  </si>
  <si>
    <t>RTL Ojeyacu 14 [RTL IX]</t>
  </si>
  <si>
    <t>LO-CACHI-17</t>
  </si>
  <si>
    <t>RP Piedra del Amor 1</t>
  </si>
  <si>
    <t>RP Piedra del Amor 2</t>
  </si>
  <si>
    <t>LO-CACHI-21</t>
  </si>
  <si>
    <t>AA Nueva Luz</t>
  </si>
  <si>
    <t>LO-CACHI-22</t>
  </si>
  <si>
    <t>AA Puerto Libre</t>
  </si>
  <si>
    <t>LO-CACHI-29</t>
  </si>
  <si>
    <t>AA Barrio Canoa Puerto</t>
  </si>
  <si>
    <t>LO-CACHI-30</t>
  </si>
  <si>
    <t>AA San Lorenzo</t>
  </si>
  <si>
    <t>LO-CACHI-31</t>
  </si>
  <si>
    <t>RP Chayahuita Roca A</t>
  </si>
  <si>
    <t>ECHEVARRÍA LÓPEZ, Gori Tumi. 2006.  Petrograbados en la cuenca del río Cachiyacu. Una aproximación arqueológica en contexto industrial. 15 pp. En Rupestreweb, http://www.rupestreweb.info/cachiyacu.html</t>
  </si>
  <si>
    <t>RP Chayahuita Roca B</t>
  </si>
  <si>
    <t>RP Chayahuita Roca C</t>
  </si>
  <si>
    <t>LO-CACHI-18</t>
  </si>
  <si>
    <t>RP Porotoyacu 1</t>
  </si>
  <si>
    <t>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t>
  </si>
  <si>
    <t>RP Porotoyacu 2</t>
  </si>
  <si>
    <t>RP Porotoyacu 3</t>
  </si>
  <si>
    <t>RP Cucharayacu 1</t>
  </si>
  <si>
    <t>RP Cucharayacu 2</t>
  </si>
  <si>
    <t>LO-CACHI-19</t>
  </si>
  <si>
    <t>RP Cucharayacu 3</t>
  </si>
  <si>
    <t>LO-CACHI-20</t>
  </si>
  <si>
    <t>RP Cucharayacu 4</t>
  </si>
  <si>
    <t>LO-CACHI-24</t>
  </si>
  <si>
    <t>AA Porotoyacu 4</t>
  </si>
  <si>
    <t>LO-CACHI-25</t>
  </si>
  <si>
    <t>RP Macamboyacu 1</t>
  </si>
  <si>
    <t>LO-CACHI-26</t>
  </si>
  <si>
    <t>RP Macamboyacu 2</t>
  </si>
  <si>
    <t>RP Macamboyacu 3</t>
  </si>
  <si>
    <t>RP Macamboyacu 4</t>
  </si>
  <si>
    <t>RP Macamboyacu 5</t>
  </si>
  <si>
    <t>RTL Macamboyacu 6</t>
  </si>
  <si>
    <t>RP Santa Sofía 3</t>
  </si>
  <si>
    <t>OREFICI, Guiseppe; y Santiago RIVAS PANDURO. 2013. Los petroglifos de Cumpanamá: un estudio de dieciséis sitios arqueológicos relacionados del área de Balsapuerto, Yurimaguas y Tarapoto. Pp 89-162. Lo que las piedras cuentan: Cumpanamá y los petroglifos de Balsapuerto. 185 pp. Terra Nuova, Cooperazione Italiana, CAAAP, CORPI. Lima, Perú.</t>
  </si>
  <si>
    <t>RP Santa Sofía 4</t>
  </si>
  <si>
    <t>RP Santa Sofía 5</t>
  </si>
  <si>
    <t>RP Porotoyacu 5</t>
  </si>
  <si>
    <t>District</t>
  </si>
  <si>
    <t>Province</t>
  </si>
  <si>
    <t>Department</t>
  </si>
  <si>
    <t>Latitude</t>
  </si>
  <si>
    <t>Longitude</t>
  </si>
  <si>
    <t>List of archeological sites in the Department of Loreto, Peruvian Amazon</t>
  </si>
  <si>
    <t>Map site</t>
  </si>
  <si>
    <t>number</t>
  </si>
  <si>
    <t>Roca Eterna</t>
  </si>
  <si>
    <t xml:space="preserve">ARROYO-KALIN, Manuel; y Santiago RIVAS PANDURO. 2019. "La arqueología del río Napo: noticias recientes y desafíos futuros" Pp. 331-352. Revista del Museo de la Plata. Volumen 4, Buenos Aires, Argentina. </t>
  </si>
  <si>
    <t>Auca Cocha</t>
  </si>
  <si>
    <t>Bello Horizonte</t>
  </si>
  <si>
    <t xml:space="preserve">                      Decimal degrees</t>
  </si>
  <si>
    <t>Site Name</t>
  </si>
  <si>
    <t>Site Code</t>
  </si>
  <si>
    <t>References</t>
  </si>
  <si>
    <t>Alianza Cristiana  (Sector C) o Alianza Cristiana, o Alianza Cristiana (Sector Barrio Curva)</t>
  </si>
  <si>
    <t>Alianza Cristiana  (Sector A), o Alianza Cristiana (Sector Barrio Maynas)</t>
  </si>
  <si>
    <t>LOR-02 // LO-MAR-23JUN-07</t>
  </si>
  <si>
    <t>LOR-03 // LO-MAR-VCRU-09</t>
  </si>
  <si>
    <t>LOR-05 // LO-MAR-VCRI-08</t>
  </si>
  <si>
    <t>S-CORR-2 // LO-COR-VAL-01</t>
  </si>
  <si>
    <t>Aisana (Aysana)</t>
  </si>
  <si>
    <t>RIVAS PANDURO, Santiago. 2010. Informe de viaje realizado a la Reserva Pacaya Samiria. 8 pp. Manuscrito. Iquitos, Perú. (Testimonio oral a Santiago Rivas Panduro de José Grocio Gil Navarro, 2010, Jefe de la Reserva Nacional Pacaya Samiria)</t>
  </si>
  <si>
    <t>Datem del Marañón</t>
  </si>
  <si>
    <t>Recorded</t>
  </si>
  <si>
    <t>Google Earth</t>
  </si>
  <si>
    <t xml:space="preserve">            Elevation asl (m)</t>
  </si>
  <si>
    <t>In the river</t>
  </si>
  <si>
    <t>At the edge of river</t>
  </si>
  <si>
    <t>Site Location notes</t>
  </si>
  <si>
    <t>(Satellite imagery 2020)</t>
  </si>
  <si>
    <t>TRN-006 // LO-TIG-SEL-06</t>
  </si>
  <si>
    <t>LO-HS-004 // LO-HUA-ACRI -17B</t>
  </si>
  <si>
    <t>L0-HS-002 //  LO –HUA-BOL-14</t>
  </si>
  <si>
    <t>LO-HS-004 // LO-HUA-ACRI-17A</t>
  </si>
  <si>
    <t>TRN-008 //  LO-TIG-AUGA-04</t>
  </si>
  <si>
    <t>LO-MAR-HISL-04</t>
  </si>
  <si>
    <t>LO-Napo 006.</t>
  </si>
  <si>
    <t>LO-Napo 007.</t>
  </si>
  <si>
    <t>LO-Napo 008.</t>
  </si>
  <si>
    <t>LO-Curar 001.</t>
  </si>
  <si>
    <t>LO-Curar 002</t>
  </si>
  <si>
    <t>LO-Napo 001</t>
  </si>
  <si>
    <t>LO-Napo 002</t>
  </si>
  <si>
    <t>LO-Napo 003</t>
  </si>
  <si>
    <t>LO-Napo 004</t>
  </si>
  <si>
    <t>LO-Napo 005</t>
  </si>
  <si>
    <t>LO-Aguar 001</t>
  </si>
  <si>
    <t>RIVAS PANDURO, Santiago. 1999. Investigaciones arqueológicas en el Distrito de Balsapuerto: el enigma de los petroglifos de Balsapuerto. 45 pp. Informe presentado a la Municipalidad Distrital de Balsapuerto. Lima, Perú. // 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t>
  </si>
  <si>
    <t>RIVAS PANDURO, Santiago. 2011. Informe N° 075-2011/AA/MC-DRC-L/SRP. 27 pp. Informe sobre visita al Distrito de Balsapuerto para reconocer y registrar los petroglifos de las cuencas del Cachiyacu y Armanayacu, a solicitud de la ONG Terra Nuova. Presentado a la Dirección Desconcentrada de Cultura del Ministerio de Cultura.</t>
  </si>
  <si>
    <t>RIVAS PANDURO, Santiago. 2011. Informe N° 075-2011/AA/MC-DRC-L/SRP. 27 pp. Informe sobre visita al Distrito de Balsapuerto para reconocer y registrar los petroglifos de las cuencas del Cachiyacu y Armanayacu, a solicitud de la ONG Terra Nuova. Presentado a la Dirección Desconcentrada de Cultura del Ministerio de Cultura. // Santiago Rivas Panduro, apuntes de campo 2015.</t>
  </si>
  <si>
    <t>RIVAS PANDURO, Santiago. 2011. Informe N° 075-2011/AA/MC-DRC-L/SRP. 27 pp. Informe sobre visita al Distrito de Balsapuerto para reconocer y registrar los petroglifos de las cuencas del Cachiyacu y Armanayacu, a solicitud de la ONG Terra Nuova. Presentado a la Dirección Desconcentrada de Cultura del Ministerio de Cultura. // Santiago Rivas Panduro, apuntes de campo 2015</t>
  </si>
  <si>
    <t>Orellana UCA-27</t>
  </si>
  <si>
    <t>Orellana UCA-26</t>
  </si>
  <si>
    <t>UCA-26</t>
  </si>
  <si>
    <t>Canchahuaya</t>
  </si>
  <si>
    <t>Puerto Oriente</t>
  </si>
  <si>
    <t xml:space="preserve"> -</t>
  </si>
  <si>
    <t>Pirococha UCA-28</t>
  </si>
  <si>
    <t>UCA-28</t>
  </si>
  <si>
    <t>Piracocha UCA-29</t>
  </si>
  <si>
    <t>Piracocha UCA-30</t>
  </si>
  <si>
    <t>Cantagallo</t>
  </si>
  <si>
    <t>On-site measurement</t>
  </si>
  <si>
    <t>Yes</t>
  </si>
  <si>
    <t>No</t>
  </si>
  <si>
    <r>
      <t xml:space="preserve">RAVINES, Rogger. 1978-1980. Reconocimiento arqueológico en el río Corrientes, Nororiente del Perú. Pp. 111-138. </t>
    </r>
    <r>
      <rPr>
        <i/>
        <sz val="11"/>
        <color theme="1"/>
        <rFont val="Calibri"/>
        <family val="2"/>
        <scheme val="minor"/>
      </rPr>
      <t>Revista del Museo Nacional</t>
    </r>
    <r>
      <rPr>
        <sz val="11"/>
        <color theme="1"/>
        <rFont val="Calibri"/>
        <family val="2"/>
        <scheme val="minor"/>
      </rPr>
      <t>, Tomo XLIV.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r>
  </si>
  <si>
    <r>
      <t xml:space="preserve">RAVINES, Rogger. 1978-1980. Reconocimiento arqueológico en el río Corrientes, Nororiente del Perú. Pp. 111-138. </t>
    </r>
    <r>
      <rPr>
        <i/>
        <sz val="11"/>
        <color theme="1"/>
        <rFont val="Calibri"/>
        <family val="2"/>
        <scheme val="minor"/>
      </rPr>
      <t>Revista del Museo Nacional</t>
    </r>
    <r>
      <rPr>
        <sz val="11"/>
        <color theme="1"/>
        <rFont val="Calibri"/>
        <family val="2"/>
        <scheme val="minor"/>
      </rPr>
      <t>, Tomo XLIV. Lima, Perú.</t>
    </r>
  </si>
  <si>
    <r>
      <t xml:space="preserve">MAC KAY FULLE, Martín; y, Rafaél SANTA CRUZ. 2009. Cuninico y Maipuco, dos sitios arqueológicos en el río Marañón. Pp. 57-73. </t>
    </r>
    <r>
      <rPr>
        <i/>
        <sz val="11"/>
        <color theme="1"/>
        <rFont val="Calibri"/>
        <family val="2"/>
        <scheme val="minor"/>
      </rPr>
      <t>Arqueología y Sociedad</t>
    </r>
    <r>
      <rPr>
        <sz val="11"/>
        <color theme="1"/>
        <rFont val="Calibri"/>
        <family val="2"/>
        <scheme val="minor"/>
      </rPr>
      <t>, N° 20. Lima, Perú.</t>
    </r>
  </si>
  <si>
    <r>
      <t xml:space="preserve">RAVINES, Rogger. 1989. Cerámica del río Morona, Alto Amazonas, Loreto. Pp. 14-18. </t>
    </r>
    <r>
      <rPr>
        <i/>
        <sz val="11"/>
        <color theme="1"/>
        <rFont val="Calibri"/>
        <family val="2"/>
        <scheme val="minor"/>
      </rPr>
      <t>Boletín de Lima</t>
    </r>
    <r>
      <rPr>
        <sz val="11"/>
        <color theme="1"/>
        <rFont val="Calibri"/>
        <family val="2"/>
        <scheme val="minor"/>
      </rPr>
      <t>, Año 11, N° 66. Lima, Perú.</t>
    </r>
  </si>
  <si>
    <r>
      <t xml:space="preserve">PANAIFO TEIXEIRA, Mónica. 1994. “Evaluación de Nuestra Arqueología Amazónica”. Pp. 169-229. </t>
    </r>
    <r>
      <rPr>
        <i/>
        <sz val="11"/>
        <color theme="1"/>
        <rFont val="Calibri"/>
        <family val="2"/>
        <scheme val="minor"/>
      </rPr>
      <t>Amazonia: en Busca de su Palabra</t>
    </r>
    <r>
      <rPr>
        <sz val="11"/>
        <color theme="1"/>
        <rFont val="Calibri"/>
        <family val="2"/>
        <scheme val="minor"/>
      </rPr>
      <t xml:space="preserve">. IIAP. Lima, Perú//MORALES CHOCANO, Daniel; Ana MUJICA BAQUERIZO; y Ronald L. WEBER. 2016. “Chapter 2: Continuity and change among the Shipibo-Conibo: Prehistory to modernity”, Pp. 9-20 </t>
    </r>
    <r>
      <rPr>
        <i/>
        <sz val="11"/>
        <color theme="1"/>
        <rFont val="Calibri"/>
        <family val="2"/>
        <scheme val="minor"/>
      </rPr>
      <t>Fieldiana:</t>
    </r>
    <r>
      <rPr>
        <sz val="11"/>
        <color theme="1"/>
        <rFont val="Calibri"/>
        <family val="2"/>
        <scheme val="minor"/>
      </rPr>
      <t xml:space="preserve"> </t>
    </r>
    <r>
      <rPr>
        <i/>
        <sz val="11"/>
        <color theme="1"/>
        <rFont val="Calibri"/>
        <family val="2"/>
        <scheme val="minor"/>
      </rPr>
      <t>Anthropology N.S</t>
    </r>
    <r>
      <rPr>
        <sz val="11"/>
        <color theme="1"/>
        <rFont val="Calibri"/>
        <family val="2"/>
        <scheme val="minor"/>
      </rPr>
      <t xml:space="preserve"> 45.</t>
    </r>
  </si>
  <si>
    <r>
      <t xml:space="preserve">BLISSENBACH, Erich. 1992. “Evidence for earlier settlements near Contamana, Rio Ucayali, Upper Amazon”, Pp. 17-25. </t>
    </r>
    <r>
      <rPr>
        <i/>
        <sz val="11"/>
        <color theme="1"/>
        <rFont val="Calibri"/>
        <family val="2"/>
        <scheme val="minor"/>
      </rPr>
      <t xml:space="preserve">Baessler-Archiv </t>
    </r>
    <r>
      <rPr>
        <sz val="11"/>
        <color theme="1"/>
        <rFont val="Calibri"/>
        <family val="2"/>
        <scheme val="minor"/>
      </rPr>
      <t xml:space="preserve">40(1). </t>
    </r>
  </si>
  <si>
    <r>
      <t xml:space="preserve">ARROYO-KALIN, Manuel; y Santiago RIVAS PANDURO. 2019. "La arqueología del río Napo: noticias recientes y desafíos futuros" Pp. 331-352. </t>
    </r>
    <r>
      <rPr>
        <i/>
        <sz val="11"/>
        <color theme="1"/>
        <rFont val="Calibri"/>
        <family val="2"/>
        <scheme val="minor"/>
      </rPr>
      <t>Revista del Museo de la Plata,</t>
    </r>
    <r>
      <rPr>
        <sz val="11"/>
        <color theme="1"/>
        <rFont val="Calibri"/>
        <family val="2"/>
        <scheme val="minor"/>
      </rPr>
      <t xml:space="preserve"> Volumen 4, Buenos Aires, Argentina. </t>
    </r>
  </si>
  <si>
    <r>
      <t xml:space="preserve">MAC KAY FULLE, Martín; y, Rafaél SANTA CRUZ. 2009. Cuninico y Maipuco, dos sitios arqueológicos en el río Marañón. Pp. 57-73. </t>
    </r>
    <r>
      <rPr>
        <i/>
        <sz val="11"/>
        <color indexed="8"/>
        <rFont val="Calibri"/>
        <family val="2"/>
        <scheme val="minor"/>
      </rPr>
      <t>Arqueología y Sociedad</t>
    </r>
    <r>
      <rPr>
        <sz val="11"/>
        <color theme="1"/>
        <rFont val="Calibri"/>
        <family val="2"/>
        <scheme val="minor"/>
      </rPr>
      <t>, N° 20. Lima, Perú.</t>
    </r>
  </si>
  <si>
    <r>
      <t xml:space="preserve">MYERS, Thomas; y, Bartholomew DEAN. 1999. Cerámica prehispánica del río Chambira, Loreto. Pp. 255-288. </t>
    </r>
    <r>
      <rPr>
        <i/>
        <sz val="11"/>
        <color indexed="8"/>
        <rFont val="Calibri"/>
        <family val="2"/>
        <scheme val="minor"/>
      </rPr>
      <t>Amazonía Peruana</t>
    </r>
    <r>
      <rPr>
        <sz val="11"/>
        <color theme="1"/>
        <rFont val="Calibri"/>
        <family val="2"/>
        <scheme val="minor"/>
      </rPr>
      <t>, Tomo XIII, N° 26. Lima, Perú.</t>
    </r>
  </si>
  <si>
    <r>
      <t xml:space="preserve">MORALES CHOCANO, Daniel. 1992. Chambira: Alfareros tempranos de la Amazonía. Pp. 149-172. </t>
    </r>
    <r>
      <rPr>
        <i/>
        <sz val="11"/>
        <color indexed="8"/>
        <rFont val="Calibri"/>
        <family val="2"/>
        <scheme val="minor"/>
      </rPr>
      <t>Estudios de Arqueología Peruana</t>
    </r>
    <r>
      <rPr>
        <sz val="11"/>
        <color theme="1"/>
        <rFont val="Calibri"/>
        <family val="2"/>
        <scheme val="minor"/>
      </rPr>
      <t xml:space="preserve">. Lima, Perú. // MORALES CHOCANO, Daniel. 1998. Chambira: Una cultura de sabana árida en la Amazonía peruana. pp. 61-75. </t>
    </r>
    <r>
      <rPr>
        <i/>
        <sz val="11"/>
        <color indexed="8"/>
        <rFont val="Calibri"/>
        <family val="2"/>
        <scheme val="minor"/>
      </rPr>
      <t>Investigaciones Sociales</t>
    </r>
    <r>
      <rPr>
        <sz val="11"/>
        <color theme="1"/>
        <rFont val="Calibri"/>
        <family val="2"/>
        <scheme val="minor"/>
      </rPr>
      <t>, Año 2, N° 2. Lima, Perú.</t>
    </r>
  </si>
  <si>
    <r>
      <t xml:space="preserve">MORALES CHOCANO, Daniel. 1992. Chambira: Alfareros tempranos de la Amazonía. Pp. 149-172. </t>
    </r>
    <r>
      <rPr>
        <i/>
        <sz val="11"/>
        <color rgb="FF000000"/>
        <rFont val="Calibri"/>
        <family val="2"/>
        <scheme val="minor"/>
      </rPr>
      <t>Estudios de Arqueología Peruana</t>
    </r>
    <r>
      <rPr>
        <sz val="11"/>
        <color theme="1"/>
        <rFont val="Calibri"/>
        <family val="2"/>
        <scheme val="minor"/>
      </rPr>
      <t xml:space="preserve">. Lima, Perú. // MORALES CHOCANO, Daniel. 1998. Chambira: Una cultura de sabana árida en la Amazonía peruana. pp. 61-75. </t>
    </r>
    <r>
      <rPr>
        <i/>
        <sz val="11"/>
        <color indexed="8"/>
        <rFont val="Calibri"/>
        <family val="2"/>
        <scheme val="minor"/>
      </rPr>
      <t>Investigaciones Sociales</t>
    </r>
    <r>
      <rPr>
        <sz val="11"/>
        <color theme="1"/>
        <rFont val="Calibri"/>
        <family val="2"/>
        <scheme val="minor"/>
      </rPr>
      <t>, Año 2, N° 2. Lima, Perú.</t>
    </r>
  </si>
  <si>
    <r>
      <t xml:space="preserve">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</si>
  <si>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r>
      <t xml:space="preserve">MYERS, Thomas; y, Santiago RIVAS PANDURO. 2005. Evidencias arqueológicas en el Alto Amazonas. Explorando las cuencas de los ríos Aichiyacu y Morona. Pp. 1-40. </t>
    </r>
    <r>
      <rPr>
        <i/>
        <sz val="11"/>
        <color indexed="8"/>
        <rFont val="Calibri"/>
        <family val="2"/>
        <scheme val="minor"/>
      </rPr>
      <t>Unay Runa</t>
    </r>
    <r>
      <rPr>
        <sz val="11"/>
        <color theme="1"/>
        <rFont val="Calibri"/>
        <family val="2"/>
        <scheme val="minor"/>
      </rPr>
      <t>, N° 7. Lima, Perú. // WALSH PERÚ. 2006. Estudio de Impacto Ambiental y Social de la Prospección Sísmica 3D Perforación Exploratoria del Lote 101. Volumen IV: Línea Base Arqueológica, para la empresa Talisman Energy. 20 pp. Lima, Perú.</t>
    </r>
  </si>
  <si>
    <r>
      <t xml:space="preserve">MYERS, Thomas; y, Santiago RIVAS PANDURO. 2005. Evidencias arqueológicas en el Alto Amazonas. Explorando las cuencas de los ríos Aichiyacu y Morona. Pp. 1-40. </t>
    </r>
    <r>
      <rPr>
        <i/>
        <sz val="11"/>
        <color indexed="8"/>
        <rFont val="Calibri"/>
        <family val="2"/>
        <scheme val="minor"/>
      </rPr>
      <t>Unay Runa</t>
    </r>
    <r>
      <rPr>
        <sz val="11"/>
        <color theme="1"/>
        <rFont val="Calibri"/>
        <family val="2"/>
        <scheme val="minor"/>
      </rPr>
      <t>, N° 7. Lima, Perú.</t>
    </r>
  </si>
  <si>
    <r>
      <t>Suni Ca</t>
    </r>
    <r>
      <rPr>
        <sz val="11"/>
        <color theme="1"/>
        <rFont val="Calibri"/>
        <family val="2"/>
        <scheme val="minor"/>
      </rPr>
      <t>ño</t>
    </r>
  </si>
  <si>
    <r>
      <t>Urco Mira</t>
    </r>
    <r>
      <rPr>
        <sz val="11"/>
        <color theme="1"/>
        <rFont val="Calibri"/>
        <family val="2"/>
        <scheme val="minor"/>
      </rPr>
      <t>ño</t>
    </r>
  </si>
  <si>
    <t>Warika - Buena Union</t>
  </si>
  <si>
    <t>RTL Ojeyacu 15 [RTL X]</t>
  </si>
  <si>
    <t>Requena/Tapiche River (multiple sites)</t>
  </si>
  <si>
    <t>Alianza Cristiana  (Sector B), o Alianza Cristiana (Sector Barrio Nocturno)</t>
  </si>
  <si>
    <t>MORALES CHOCANO, Daniel. 2002. Contactos entre cocamas y shipibos: un acercamiento arqueológico a la Amazonía peruana. pp. 47-70. Investigaciones Sociales, Año 6, N°10. UNMSM. Lima, Perú.</t>
  </si>
  <si>
    <r>
      <t xml:space="preserve">MORALES CHOCANO, Daniel. 2002. Contactos entre cocamas y shipibos: un acercamiento arqueológico a la Amazonía peruana. pp. 47-70. </t>
    </r>
    <r>
      <rPr>
        <i/>
        <sz val="11"/>
        <color theme="1"/>
        <rFont val="Calibri"/>
        <family val="2"/>
        <scheme val="minor"/>
      </rPr>
      <t>Investigaciones Sociales</t>
    </r>
    <r>
      <rPr>
        <sz val="11"/>
        <color theme="1"/>
        <rFont val="Calibri"/>
        <family val="2"/>
        <scheme val="minor"/>
      </rPr>
      <t>, Año 6, N°10. UNMSM. Lima, Perú.</t>
    </r>
  </si>
  <si>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t>
  </si>
  <si>
    <t>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 // RIVAS PANDURO, Santiago. 2003. Los asentamientos prehispánicos de la cuenca del río Cachiyacu, Amazonía peruana. 142 pp. Instituto Cultural Runa. Lima, Perú. // JORDÁN BEJARANO, Carlos Francisco. 2006. Informe del Proyecto de Evaluación Arqueológica en el área del Convenio N° 009-2004-FIP entre el Fondo Ítalo Peruano y la Municipalidad de Balsapuerto, Departamento de Loreto, “Proyecto Mejoramiento de Ganado de doble propósito en el Distrito de Balsapuerto”. 44 pp. Presentado al Instituto Nacional de Cultura. Lima, Perú.</t>
  </si>
  <si>
    <t>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 // RIVAS PANDURO, Santiago. 2003. Los asentamientos prehispánicos de la cuenca del río Cachiyacu, Amazonía peruana. 142 pp. Instituto Cultural Runa. Lima, Perú.</t>
  </si>
  <si>
    <r>
      <t xml:space="preserve">RAVINES, Rógger. 1999. Tiestos antiguos procedentes de Orán, Loreto. Pp. 7-11. </t>
    </r>
    <r>
      <rPr>
        <i/>
        <sz val="11"/>
        <color theme="1"/>
        <rFont val="Calibri"/>
        <family val="2"/>
        <scheme val="minor"/>
      </rPr>
      <t>Boletín de Lima</t>
    </r>
    <r>
      <rPr>
        <sz val="11"/>
        <color theme="1"/>
        <rFont val="Calibri"/>
        <family val="2"/>
        <scheme val="minor"/>
      </rPr>
      <t xml:space="preserve">, N° 118. Lima, Perú. // MORALES CHOCANO, Daniel. 2001. Informe preliminar sobre los restos arqueológicos de Orán en Iquitos-Perú. 15 pp. Lima, Perú. // RIVAS PANDURO, Santiago; y Thomas MYERS. 2004. Ocupación arqueológica en Orán, río Amazonas, Loreto-Perú. Pp. 133-180. </t>
    </r>
    <r>
      <rPr>
        <i/>
        <sz val="11"/>
        <color theme="1"/>
        <rFont val="Calibri"/>
        <family val="2"/>
        <scheme val="minor"/>
      </rPr>
      <t>Revista Supay</t>
    </r>
    <r>
      <rPr>
        <sz val="11"/>
        <color theme="1"/>
        <rFont val="Calibri"/>
        <family val="2"/>
        <scheme val="minor"/>
      </rPr>
      <t>, Año 6, N° 5. Lima, Perú.</t>
    </r>
  </si>
  <si>
    <t>Quebrada Tucunare o Sector Pasto</t>
  </si>
  <si>
    <t>Quebrada Tucunare-Carpayo</t>
  </si>
  <si>
    <t>ENVIRONMENTAL RESOURCES MANAGEMENT – ERM PERÚ S.A. 2002.  Estudio de Impacto Ambiental-Social en el Área Noroeste del Lote 64.  96 pp. Informe Final / Resumen Ejecutivo.</t>
  </si>
  <si>
    <t>Helipuerto MI-17</t>
  </si>
  <si>
    <t>RIVAS PANDURO, Santiago. 2010. Informe de viaje realizado a la Reserva Pacaya Samiria. 8 pp. Manuscrito. Iquitos, Perú. (Oral testimony to Santiago Rivas Panduro from José Grocio Gil Navarro, 2010, Jefe de la Reserva Nacional Pacaya Samiria)</t>
  </si>
  <si>
    <t>VICENTE HUAMANÍ, Rúlfer. 2012. Identificación y delimitación de zonas culturales intangibles. Informe enmarcado dentro del proyecto: “Saneamiento y Titulación de Predios Rurales, para el Desarrollo Alternativo, Integral y Sostenible”. GOREL / DEVIDA. Iquitos,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</si>
  <si>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ENVIRONMENTAL RESOURCES MANAGEMENT – ERM PERÚ S.A. 2007.  Estudio de Impacto Ambiental y Social de la Prospección Sísmica 2D de 445 Km en el Lote 104. Capítulo IV: Línea Base Social. 302 pp.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</si>
  <si>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FIERRO HUATUCO, Koraíta. 2011. Plan de Monitoreo Arqueológico del Programa Exploratorio de los lotes 129, 123 y 124. Departamento de Loreto. 109 pp. Informe Final presentado al Ministerio de Cultura. Lima, Perú. // CHUMPITAZ LLERENA, Daniel. 2011. Proyecto de Evaluación Arqueológica del Campamento Base Providencia y del Campamento Volante 07. Lote 123. Derivado del Plan de Monitoreo Arqueológico del Programa Exploratorio de los lotes 129, 123 y 124. Departamento de Loreto. 153 pp. Informe Final presentado al Ministerio de Cultura.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</si>
  <si>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</si>
  <si>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MAC KAY FULLE, Martín; y, Rafaél SANTA CRUZ. 2009. Cuninico y Maipuco, dos sitios arqueológicos en el río Marañón. Pp. 57-73. Arqueología y Sociedad, N° 20.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</si>
  <si>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MAC KAY FULLE, Martín; y, Rafaél SANTA CRUZ. 2009. Cuninico y Maipuco, dos sitios arqueológicos en el río Marañón. Pp. 57-73. Arqueología y Sociedad, N° 20. Lima, Perú.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</si>
  <si>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RAVINES, Rogger. 1998. Cerámica antigua del río Urituyacu, Provincia y Departamento de Loreto. Pp. 49-70. Boletín de Lima N° 112. Lima, Perú.</t>
  </si>
  <si>
    <t>RIVAS PANDURO, Santiago. 2016. Informe N° 072-2016/AA/MC-DDC-LOR/SRP. 8 pp. Informe donde se reporta el hallazgo de dos sitios arqueológicos en la cuenca del río Paranapura (Cocha Paranapura, Cocha Paranapura 2), en el marco de la inspección de campo al proyecto “Plan de Monitoreo Arqueológico Mejoramiento y Rehabilitación de la Carretera Yurimaguas – Munichis (Hasta el puente Yanayacu. L=10.20 km), Provincia de Alto Amazonas, Departamento de Loreto”, ubicado en el Distrito de Yurimaguas, Provincia Alto Amazonas, Departamento de Loreto, a cargo de la Lic. Zoraida Villafuerte Cáceres.</t>
  </si>
  <si>
    <t>WALSH PERÚ. 2006. Estudio de Impacto Ambiental y Social de la Prospección Sísmica 3D Perforación Exploratoria del Lote 101. Volumen IV: Línea Base Arqueológica, para la empresa Talisman Energy. 20 pp.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</si>
  <si>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Amazonía Peruana, Tomo XV, N° 31. CAAAP. Lima, Perú.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</si>
  <si>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MYERS, Thomas; y, Santiago RIVAS PANDURO. 2005. Evidencias arqueológicas en el Alto Amazonas. Explorando las cuencas de los ríos Aichiyacu y Morona. Pp. 1-40. Unay Runa, N° 7. Lima, Perú. // GONZALES MADUEÑO, Consuelo. 2005. Proyecto Arqueológico de emergencia en Puerto Alegría. Municipalidad Distrital de Morona (FONCODES) Provincia de Alto Amazonas, región Loreto. 207 pp. Informe presentado al Instituto Nacional de Cultura. Lima, Perú.</t>
  </si>
  <si>
    <t>RIVAS PANDURO, Santiago. 2014. Informe N°007-2014/AA/MC-DDC-LOR/SRP. 5 PP. Informe de supervisión de campo al Plan Monitoreo Arqueológico Proyecto de Prospección Sísmica 2D en el Lote 95, Departamento de Loreto, ubicado en los Distritos de Requena, Puinahua, Emilio San Martín, Capelo y Tapiche, en la Provincia de Requena, Departamento de Loreto, bajo la dirección de la Lic. Paula Jissela Poma Sánchez. Informe presentado a la Dirección Desconcentrada de Cultura del Ministerio de Cultura. Iquitos, Perú. // POMA SÁNCHEZ, Paula Jissela. 2014. Plan de Monitoreo Arqueológico Proyecto de Exploración Sísmica 2D en el Lote 95, Departamento de Loreto. 36 pp. Informe Final presentado al Ministerio de Cultura. Lima, Perú.</t>
  </si>
  <si>
    <t>ANGULO PAREDES, Luis Ricardo. 2016. Acta de Inspección N° 011-2016/AA/MC-DDC-LOR/LRAP. 2 pp. Reporte del hallazgo arqueológico fortuito colindante al talud del río en la Comunidad de Huacrachiro, en el Distrito de Puinahua, Provincia de Requena, Departamento de Loreto; en el marco de la inspección al Plan de Monitoreo Arqueológico de la Concesión Móvil EBC – Distrito de Puinahua, Provincia de Requena, Departamento de Loreto. Iquitos, Perú.</t>
  </si>
  <si>
    <t>GÓMEZ JARECA, Pablo. 2012. Informe Técnico N° 2406-2012-CC-DA-MC. 6 Pp. Informe sobre delimitación del sitio arqueológico San Salvador y sitio arqueológico de Cachique, Distrito de Contamana, Provincia de Ucayali, Departamento de Loreto. Presentado al Director de la Dirección de Arqueología del Ministerio de Cultura. Lima, Perú.</t>
  </si>
  <si>
    <t>RIVAS PANDURO, Santiago. 2012. Informe N° 133-2012/AA/MC-DRC-LOR/SRP. 2 pp. Informe sobre noticia de hallazgo de evidencia arqueológica en Betania, Distrito de Contamana, Provincia de Ucayali, Departamento de Loreto. Presentado a la Dirección Desconcentrada de Cultura del Ministerio de Cultura. Iquitos, Perú.</t>
  </si>
  <si>
    <t>VICENTE HUAMANÍ, Rúlfer. 2013. Identificación y delimitación de zonas culturales intangibles. Informe Final para el proyecto: “Saneamiento y Titulación de Predios Rurales para el Desarrollo Alternativo, Integral y Sostenible”. Distrito de Mazán, Provincia de Maynas – región Loreto. GOREL / DEVIDA. Iquitos, Perú.</t>
  </si>
  <si>
    <t>FIERRO HUATUCO, Koraíta. 2011. Plan de monitoreo arqueológico del programa Exploratorio de los Lotes 129, 123 y 124. Departamento de Loreto. 109 pp. Informe Final presentado al Ministerio de Cultura. Lima, Perú.</t>
  </si>
  <si>
    <t>FIERRO HUATUCO, Koraíta. 2011. Plan de monitoreo arqueológico del programa exploratorio de los Lotes 129, 123 y 124. Departamento de Loreto. 109 pp. Informe Final presentado al Ministerio de Cultura. Lima, Perú.</t>
  </si>
  <si>
    <t>MORALES CHOCANO, Daniel. 2002. Investigaciones arqueológicas en el Distrito de Tigre (Provincia de Loreto) y Las Amazonas (Provincia de Maynas). 40 pp. Informe presentado al Instituto Nacional de Cultura. Lima, Perú.</t>
  </si>
  <si>
    <t>MORALES CHOCANO, Daniel. 2002. Investigaciones arqueológicas en el Distrito de Tigre (Provincia de Loreto) y Las Amazonas (Provincia de Maynas). 40 pp. Informe presentado al Instituto Nacional de Cultura. Lima, Perú. // ENVIRONMENTAL RESOURCES MANAGEMENT – ERM PERÚ S.A. 2007.  Estudio de Impacto Ambiental y Social de la Prospección Sísmica 2D de 445 Km en el Lote 104. Capítulo IV: Línea Base Social. 302 pp. Lima, Perú.</t>
  </si>
  <si>
    <t>MORALES CHOCANO, Daniel. 2002. Investigaciones arqueológicas en el Distrito de Tigre (Provincia de Loreto) y Las Amazonas (Provincia de Maynas). 40 pp. Informe presentado al Instituto Nacional de Cultura.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</si>
  <si>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MORALES CHOCANO, Daniel. 2002. Investigaciones arqueológicas en el Distrito de Tigre (Provincia de Loreto) y Las Amazonas (Provincia de Maynas). 40 pp. Informe presentado al Instituto Nacional de Cultura. Lima, Perú.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</si>
  <si>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t>
  </si>
  <si>
    <t>SOTO VELARDE, Lilyan. 2001. Proyecto de reconocimiento arqueológico impacto ambiental Nueva Esperanza Jibarito (región Loreto). Informe presentado al Instituto Nacional de Cultura.</t>
  </si>
  <si>
    <r>
      <t xml:space="preserve">RAVINES, Rogger. 1998. Cerámica antigua del río Urituyacu, Provincia y Departamento de Loreto. Pp. 49-70. </t>
    </r>
    <r>
      <rPr>
        <i/>
        <sz val="11"/>
        <color theme="1"/>
        <rFont val="Calibri"/>
        <family val="2"/>
        <scheme val="minor"/>
      </rPr>
      <t>Boletín de Lima</t>
    </r>
    <r>
      <rPr>
        <sz val="11"/>
        <color theme="1"/>
        <rFont val="Calibri"/>
        <family val="2"/>
        <scheme val="minor"/>
      </rPr>
      <t xml:space="preserve"> N° 112. Lima, Perú.</t>
    </r>
  </si>
  <si>
    <r>
      <t xml:space="preserve">MYERS, Thomas. 1984/85. Archaeological evidence from Achual Tipishca, Lower Huallaga River, Perú. Pp. 211-224. </t>
    </r>
    <r>
      <rPr>
        <i/>
        <sz val="11"/>
        <color theme="1"/>
        <rFont val="Calibri"/>
        <family val="2"/>
        <scheme val="minor"/>
      </rPr>
      <t>Ñawpa Pacha</t>
    </r>
    <r>
      <rPr>
        <sz val="11"/>
        <color theme="1"/>
        <rFont val="Calibri"/>
        <family val="2"/>
        <scheme val="minor"/>
      </rPr>
      <t>. Institute of Andean Studies. Nº 22-23. Berkeley, California. USA.</t>
    </r>
  </si>
  <si>
    <r>
      <t xml:space="preserve">MYERS, Thomas. 1984/85. Archaeological evidence from Achual Tipishca, Lower Huallaga River, Perú. Pp. 211-224. </t>
    </r>
    <r>
      <rPr>
        <i/>
        <sz val="11"/>
        <color theme="1"/>
        <rFont val="Calibri"/>
        <family val="2"/>
        <scheme val="minor"/>
      </rPr>
      <t>Ñawpa Pacha</t>
    </r>
    <r>
      <rPr>
        <sz val="11"/>
        <color theme="1"/>
        <rFont val="Calibri"/>
        <family val="2"/>
        <scheme val="minor"/>
      </rPr>
      <t>. Instituto de Estudios Andinos. Nº 22-23. Berkeley, California. USA.</t>
    </r>
  </si>
  <si>
    <t>JORDÁN BEJARANO, Carlos Francisco. 2006. Informe del proyecto de evaluación arqueológica en el área del Convenio N° 009-2004-FIP entre el Fondo Ítalo Peruano y la Municipalidad de Balsapuerto, Departamento de Loreto, “Proyecto Mejoramiento de Ganado de doble propósito en el Distrito de Balsapuerto”. 44 pp. Presentado al Instituto Nacional de Cultura. Lima, Perú.</t>
  </si>
  <si>
    <t>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 // RIVAS PANDURO, Santiago. 2003. Los asentamientos prehispánicos de la cuenca del río Cachiyacu, Amazonía peruana. 142 pp. Instituto Cultural Runa. Lima, Perú. // JORDÁN BEJARANO, Carlos Francisco. 2006. Informe del proyecto de evaluación arqueológica en el área del Convenio N° 009-2004-FIP entre el Fondo Ítalo Peruano y la Municipalidad de Balsapuerto, Departamento de Loreto, “Proyecto Mejoramiento de Ganado de doble propósito en el Distrito de Balsapuerto”. 44 pp. Presentado al Instituto Nacional de Cultura. Lima, Perú.</t>
  </si>
  <si>
    <t>RIVAS PANDURO, Santiago 2019. Reported by Santiago Rivas Panduro based on description of La Laguna (Field Museum 2014: 84), analyses of photographs from Corine Vriesendorp y Álvaro del Campo, and interpretion of satellite images from  Google Earth, 2019.</t>
  </si>
  <si>
    <t>RIVAS PANDURO, Santiago. 1999. Investigaciones arqueológicas en el Distrito de Balsapuerto: el enigma de los petroglifos de Balsapuerto. 45 pp. Informe presentado a la Municipalidad Distrital de Balsapuerto. Lima, Perú. // 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t>
  </si>
  <si>
    <t>RIVAS PANDURO, Santiago. 1999. Investigaciones arqueológicas en el Distrito de Balsapuerto: el enigma de los petroglifos de Balsapuerto. 45 pp. Informe presentado a la Municipalidad Distrital de Balsapuerto. Lima, Perú. // 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  // ECHEVARRÍA LÓPEZ, Gori Tumi. 2006.  Petrograbados en la cuenca del río Cachiyacu. Una aproximación arqueológica en contexto industrial. 15 pp. En Rupestreweb, http://www.rupestreweb.info/cachiyacu.html</t>
  </si>
  <si>
    <t xml:space="preserve">Reported by Santiago Rivas Panduro from field worked conducted in 2015 at PIA Paranapura. </t>
  </si>
  <si>
    <t>RIVAS PANDURO, Santiago. 1999. Investigaciones arqueológicas en el Distrito de Balsapuerto: el enigma de los petroglifos de Balsapuerto. 45 pp. Informe presentado a la Municipalidad Distrital de Balsapuerto. Lima, Perú. // 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t>
  </si>
  <si>
    <t>RIVAS PANDURO, Santiago. 2000. Prospección arqueológica en la cuenca del río Cachiyacu, Balsapuerto, Loreto. 107 pp. Informe presentado a la Dra. Ruth Shady Solís, Asesora del proyecto de investigación, del curso Prácticas Pre Profesionales II, Universidad Nacional Mayor de San Marcos. Iquitos, Perú. // RIVAS PANDURO, Santiago. 2001. Prospección arqueológica en la cuenca del río Cachiyacu, Balsapuerto, Loreto. 80 pp. Informe presentado al Instituto Nacional de Cultura. Iquitos, Perú.</t>
  </si>
  <si>
    <r>
      <t xml:space="preserve">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</si>
  <si>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r>
      <t xml:space="preserve">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</si>
  <si>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r>
      <t xml:space="preserve">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</si>
  <si>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r>
      <t xml:space="preserve">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</si>
  <si>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r>
      <t xml:space="preserve">MEDINA MENDOZA, Ada. 2005. Proyecto de evaluación arqueológica con excavaciones en el área sujeta a actividades exploratorias del Lote 101 - Pastaza, Departamento de Loreto. 500 pp. Informe presentado al Instituto Nacional de Cultura. Lima, Perú. // WALSH PERÚ. 2006. Estudio de Impacto Ambiental y Social de la Prospección Sísmica 3D Perforación Exploratoria del Lote 101. Volumen IV: Línea Base Arqueológica, para la empresa Talisman Energy. 20 pp. Lima, Perú. // 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2008. Arqueología de las cuencas del Pastaza y Morona. Reporte de zonificación ecológica económica. Pp. 269-302. </t>
    </r>
    <r>
      <rPr>
        <i/>
        <sz val="11"/>
        <color theme="1"/>
        <rFont val="Calibri"/>
        <family val="2"/>
        <scheme val="minor"/>
      </rPr>
      <t>Amazonía Peruana</t>
    </r>
    <r>
      <rPr>
        <sz val="11"/>
        <color theme="1"/>
        <rFont val="Calibri"/>
        <family val="2"/>
        <scheme val="minor"/>
      </rPr>
      <t>, Tomo XV, N° 31. CAAAP.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r>
  </si>
  <si>
    <t>MEDINA MENDOZA, Ada. 2005. Proyecto de evaluación arqueológica con excavaciones en el área sujeta a actividades exploratorias del Lote 101 - Pastaza, Departamento de Loreto. 500 pp. Informe presentado al Instituto Nacional de Cultura. Lima, Perú. //  WALSH PERÚ. 2006. Estudio de Impacto Ambiental y Social de la Prospección Sísmica 3D Perforación Exploratoria del Lote 101. Volumen IV: Línea Base Arqueológica, para la empresa Talisman Energy. 20 pp.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</si>
  <si>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MEDINA MENDOZA, Ada. 2005. Proyecto de evaluación arqueológica con excavaciones en el área sujeta a actividades exploratorias del Lote 101 - Pastaza, Departamento de Loreto. 500 pp. Informe presentado al Instituto Nacional de Cultura. Lima, Perú. // WALSH PERÚ. 2006. Estudio de Impacto Ambiental y Social de la Prospección Sísmica 3D Perforación Exploratoria del Lote 101. Volumen IV: Línea Base Arqueológica, para la empresa Talisman Energy. 20 pp. Lima, Perú.</t>
  </si>
  <si>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</si>
  <si>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t>
  </si>
  <si>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t>
  </si>
  <si>
    <t>MEDINA MENDOZA, Ada. 2005. Proyecto de evaluación arqueológica con excavaciones en el área sujeta a actividades exploratorias del Lote 101 - Pastaza, Departamento de Loreto. 500 pp. Informe presentado al Instituto Nacional de Cultura. Lima, Perú.</t>
  </si>
  <si>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</si>
  <si>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t>ABANTO LLAQUE, Julio. 2004. Evaluación arqueológica sin excavaciones en el Lote 1-AB. Zonas: Carmen, Jíbaro N.O. y Tambo. 26 pp. Informe presentado al Instituto Nacional de Cultura. Lima, Perú. // ABANTO LLAQUE, Julio. 2005 a. Proyecto de evaluación arqueológica para la delimitación de los sitios: Alianza Topal y Capahuari, y plan de monitoreo arqueológico para los sectores Carmen y Jíbaro N.O. Lote 1-AB. Primera Parte: Informe de la delimitación de los sitios Alianza Topal y Capahuari. 60 pp. Informe presentado al Instituto Nacional de Cultura. Lima, Perú. // ABANTO LLAQUE, Julio. 2005 b. Proyecto de evaluación arqueológica para la delimitación de los sitios: Alianza Topal y Capahuari, y plan de monitoreo arqueológico para los sectores Carmen y Jíbaro N.O. Lote 1-AB. Segunda Parte: Informe del plan de monitoreo arqueológico para el programa de estudio y exploraciones de Sísmica 3D, en el Lote 1 AB, Sector: Carmen. 64 pp. Informe presentado al Instituto Nacional de Cultura. Lima, Perú. // ABANTO LLAQUE, Julio. 2005 c. Proyecto de evaluación arqueológica para la delimitación de los sitios: Alianza Topal y Capahuari, y plan de monitoreo arqueológico para los sectores Carmen y Jíbaro N.O. Lote 1-AB. Informe de la ficha técnica, memoria descriptiva y planos de sitios delimitados. 14 pp. Informe presentado al Instituto Nacional de Cultura. Lima, Perú.</t>
  </si>
  <si>
    <t>Memorando N° 1414-2010-DA-DREPH/INC, listado de monumentos arqueológicos aprobados mediante Acuerdo Técnico, pendientes de la emisión de su Resolución Directoral Nacional.</t>
  </si>
  <si>
    <t>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Amazonía Peruana, Tomo XV, N° 31. CAAAP. Lima, Perú.</t>
  </si>
  <si>
    <t>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Amazonía Peruana, Tomo XV, N° 31. CAAAP. Lima, Perú. // MALLCO HUARCAYA, Rafael. 2016. Identificación y registro de sitios y zonas culturales intangibles de interés cultural en los ríos Pastaza, Tigre, Corrientes y Marañón, en el marco del Proyecto de ampliación del servicio de Catastro, Titulación y Registro de Tierras en las comunidades nativas de las cuencas de los ríos Pastaza, Tigre, Corrientes y Marañón, de las Provincias de Datem del Marañón y Loreto, región Loreto, con Código SNIP 316426. 208 pp. Informe Final presentado al Proyecto Titulación 4 Cuencas (Código SNIP 316426), Dirección Regional Agraria de Loreto, Gerencia de Desarrollo Económico – Gobierno Regional de Loreto. Iquitos, Perú.</t>
  </si>
  <si>
    <r>
      <t xml:space="preserve">DE BOER, Warren; Eric ROSS; Jane ROSS; y, Marie VIALE. 1977. Two ceramics collections from the Río Huasaga, northern Perú: Their place in the rehistory of the Upper Amazon. pp. 10-26. </t>
    </r>
    <r>
      <rPr>
        <i/>
        <sz val="11"/>
        <color theme="1"/>
        <rFont val="Calibri"/>
        <family val="2"/>
        <scheme val="minor"/>
      </rPr>
      <t>El Dorado</t>
    </r>
    <r>
      <rPr>
        <sz val="11"/>
        <color theme="1"/>
        <rFont val="Calibri"/>
        <family val="2"/>
        <scheme val="minor"/>
      </rPr>
      <t>, Volumen II, N° 2.  University of Northen Colorado. Greeley, Colorado. USA. // RIVAS PANDURO, Santiago. 2007. Arqueología Amazónica. Componente temático para la mesozonificación ecológica y económica de las cuencas de los ríos Pastaza y Morona. 113 pp. Informe Final presentado al PROFONAMPE-UNAP. Iquitos, Perú.</t>
    </r>
    <r>
      <rPr>
        <sz val="11"/>
        <color indexed="8"/>
        <rFont val="Calibri"/>
        <family val="2"/>
        <scheme val="minor"/>
      </rPr>
      <t xml:space="preserve"> // </t>
    </r>
    <r>
      <rPr>
        <sz val="11"/>
        <color theme="1"/>
        <rFont val="Calibri"/>
        <family val="2"/>
        <scheme val="minor"/>
      </rPr>
      <t xml:space="preserve">RIVAS PANDURO, Santiago; Ada MEDINA MENDOZA; Julio ABANTO LLAQUE; Richer RÍOS ZUMAETA; Corina CALDAS CARRILLO. 2008.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</si>
  <si>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r>
      <t>DE BOER, Warren; Eric ROSS; Jane ROSS; y, Marie VIALE. 1977. Two ceramics collections from the Río Huasaga, northern Perú: Their place in the prehistory of the Upper Amazon. pp. 10-26. El Dorado, Volumen II, N° 2.  University of Northen Colorado. Greeley, Colorado. USA. // RIVAS PANDURO, Santiago. 2007. Arqueología Amazónica. Componente temático para la mesozonificación ecológica y económica de las cuencas de los ríos Pastaza y Morona. 113 pp. Informe Final presentado al PROFONAMPE-UNAP. Iquitos, Perú.</t>
    </r>
    <r>
      <rPr>
        <sz val="11"/>
        <color indexed="8"/>
        <rFont val="Calibri"/>
        <family val="2"/>
        <scheme val="minor"/>
      </rPr>
      <t xml:space="preserve"> // </t>
    </r>
    <r>
      <rPr>
        <sz val="11"/>
        <color theme="1"/>
        <rFont val="Calibri"/>
        <family val="2"/>
        <scheme val="minor"/>
      </rPr>
      <t xml:space="preserve">RIVAS PANDURO, Santiago; Ada MEDINA MENDOZA; Julio ABANTO LLAQUE; Richer RÍOS ZUMAETA; Corina CALDAS CARRILLO. 2008.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</si>
  <si>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t>Dr. EdgarDávila Vela (personal communication to Santiago Rivas Panduro, December, 2002).</t>
  </si>
  <si>
    <r>
      <t xml:space="preserve">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theme="1"/>
        <rFont val="Calibri"/>
        <family val="2"/>
        <scheme val="minor"/>
      </rPr>
      <t>Amazonía Peruana</t>
    </r>
    <r>
      <rPr>
        <sz val="11"/>
        <color theme="1"/>
        <rFont val="Calibri"/>
        <family val="2"/>
        <scheme val="minor"/>
      </rPr>
      <t>, Tomo XV, N° 31. CAAAP. Lima, Perú.</t>
    </r>
  </si>
  <si>
    <t xml:space="preserve">ENVIRONMENTAL RESOURCES MANAGEMENT – ERM PERÚ S.A. 2002.  Estudio de Impacto Ambiental-Social en el Área Noroeste del Lote 64.  96 pp. Informe Final / Resumen Ejecutivo. // MEDINA MENDOZA, Ada. 2003. Proyecto de evaluación arqueológica en el área noroeste del Lote 64. 237 pp. Informe presentado al Instituto Nacional de Cultura. Lima, Perú. </t>
  </si>
  <si>
    <r>
      <t xml:space="preserve">RAVINES, Rogger. 1989. Cerámica del río Morona, Alto Amazonas, Loreto. Pp. 14-18. </t>
    </r>
    <r>
      <rPr>
        <i/>
        <sz val="11"/>
        <color theme="1"/>
        <rFont val="Calibri"/>
        <family val="2"/>
        <scheme val="minor"/>
      </rPr>
      <t>Boletín de Lima</t>
    </r>
    <r>
      <rPr>
        <sz val="11"/>
        <color theme="1"/>
        <rFont val="Calibri"/>
        <family val="2"/>
        <scheme val="minor"/>
      </rPr>
      <t>, Año 11, N° 66. Lima, Perú. // ENVIRONMENTAL RESOURCES MANAGEMENT – ERM PERÚ S.A. 2002.  Estudio de Impacto Ambiental-Social en el Área Noroeste del Lote 64.  96 pp. Informe Final / Resumen Ejecutivo. // MEDINA MENDOZA, Ada. 2003. Proyecto de evaluación arqueológica en el área noroeste del Lote 64. 237 pp. Informe presentado al Instituto Nacional de Cultura. Lima, Perú. // MEDINA MENDOZA, Ada. 2004. Plan de monitoreo arqueológico del proyecto de perforación exploratoria en el área noroeste del Lote 64. Locaciones Situche Norte 1x, Situche Central 1x y Campamento Base Sargento Puño. Provincia de Alto Amazonas, Departamento de Loreto. Primera Etapa. 331 pp. Informe Presentado al Instituto Nacional de Cultura. Lima, Perú.</t>
    </r>
  </si>
  <si>
    <r>
      <t xml:space="preserve">ENVIRONMENTAL RESOURCES MANAGEMENT – ERM PERÚ S.A. 2002.  Estudio de Impacto Ambiental-Social en el Área Noroeste del Lote 64.  96 pp. Informe Final / Resumen Ejecutivo. // 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t>
    </r>
    <r>
      <rPr>
        <i/>
        <sz val="11"/>
        <color indexed="8"/>
        <rFont val="Calibri"/>
        <family val="2"/>
        <scheme val="minor"/>
      </rPr>
      <t>Amazonía Peruana</t>
    </r>
    <r>
      <rPr>
        <sz val="11"/>
        <color theme="1"/>
        <rFont val="Calibri"/>
        <family val="2"/>
        <scheme val="minor"/>
      </rPr>
      <t>, Tomo XV, N° 31. CAAAP. Lima, Perú.</t>
    </r>
  </si>
  <si>
    <t xml:space="preserve">ENVIRONMENTAL RESOURCES MANAGEMENT – ERM PERÚ S.A. 2002.  Estudio de Impacto Ambiental-Social en el Área Noroeste del Lote 64.  96 pp. Informe Final / Resumen Ejecutivo. // MEDINA MENDOZA, Ada. 2003. Proyecto de evaluación arqueológica en el área Noroeste del Lote 64. 237 pp. Informe presentado al Instituto Nacional de Cultura. Lima, Perú. </t>
  </si>
  <si>
    <t>RIVAS PANDURO, Santiago. 2007. Arqueología Amazónica. Componente temático para la mesozonificación ecológica y económica de las cuencas de los ríos Pastaza y Morona. 113 pp. Informe Final presentado al PROFONAMPE-UNAP. Iquitos, Perú. // RIVAS PANDURO, Santiago; Ada MEDINA MENDOZA; Julio ABANTO LLAQUE; Richer RÍOS ZUMAETA; Corina CALDAS CARRILLO. 2007. Arqueología de las cuencas del Pastaza y Morona. Reporte de zonificación ecológica económica. Pp. 269-302. Amazonía Peruana, Tomo XV, N° 31. CAAAP. Lima, Perú.</t>
  </si>
  <si>
    <r>
      <t xml:space="preserve">SIIRIINEN, Ari; y, Tommi VOURINEN. 1989. Perun Amazonian arkeologiaa Tutkimuskia vaikeissa olosuhteissa. Pp. 43-49. </t>
    </r>
    <r>
      <rPr>
        <i/>
        <sz val="11"/>
        <color theme="1"/>
        <rFont val="Calibri"/>
        <family val="2"/>
        <scheme val="minor"/>
      </rPr>
      <t xml:space="preserve">Suomen Atropologi </t>
    </r>
    <r>
      <rPr>
        <sz val="11"/>
        <color theme="1"/>
        <rFont val="Calibri"/>
        <family val="2"/>
        <scheme val="minor"/>
      </rPr>
      <t>4/89. Finlandia.</t>
    </r>
  </si>
  <si>
    <t>Oral testimony to Santiago Rivas Panduro from José Grocio Gil Navarro, 2010, Jefe de la Reserva Nacional Pacaya Samiria</t>
  </si>
  <si>
    <t>RIVAS PANDURO, Santiago. 2010. Informe de viaje realizado a la Reserva Pacaya Samiria. 8 pp. Manuscrito. Iquitos, Perú. // Oral testimony to Santiago Rivas Panduro from Jorge Grocio Navarro, Jefe de la Reserva Nacional Pacaya Samiria</t>
  </si>
  <si>
    <r>
      <t xml:space="preserve">PANAIFO TEIXEIRA, Mónica. 1994. “Evaluación de nuestra arqueología Amazónica”. Pp. 169-229. </t>
    </r>
    <r>
      <rPr>
        <i/>
        <sz val="11"/>
        <color theme="1"/>
        <rFont val="Calibri"/>
        <family val="2"/>
        <scheme val="minor"/>
      </rPr>
      <t>Amazonia: en Busca de su Palabra</t>
    </r>
    <r>
      <rPr>
        <sz val="11"/>
        <color theme="1"/>
        <rFont val="Calibri"/>
        <family val="2"/>
        <scheme val="minor"/>
      </rPr>
      <t xml:space="preserve">. IIAP. Lima, Perú//RIVAS PANDURO, Santiago. 2006. Proyecto Qhapaq Ñan. La arqueología de la región Loreto (Selva Baja de la Amazonia Peruana). Estado de la cuestión. Informe Final. Instituto Nacional de Cultura, Iquitos, Perú. </t>
    </r>
  </si>
  <si>
    <r>
      <t xml:space="preserve">MYERS, Thomas. 1972. Sarayacu: Archaeological investigations at  a 19th Century Franciscan mission in the Peruvian Montaña. Pp. 25-37. </t>
    </r>
    <r>
      <rPr>
        <i/>
        <sz val="11"/>
        <color theme="1"/>
        <rFont val="Calibri"/>
        <family val="2"/>
        <scheme val="minor"/>
      </rPr>
      <t>Actas y Memorias XXXIX Congreso Internacional de Americanistas</t>
    </r>
    <r>
      <rPr>
        <sz val="11"/>
        <color theme="1"/>
        <rFont val="Calibri"/>
        <family val="2"/>
        <scheme val="minor"/>
      </rPr>
      <t xml:space="preserve">, Vol. 4. Lima, Perú. // MYERS, Thomas. 1990. </t>
    </r>
    <r>
      <rPr>
        <i/>
        <sz val="11"/>
        <color theme="1"/>
        <rFont val="Calibri"/>
        <family val="2"/>
        <scheme val="minor"/>
      </rPr>
      <t>Sarayacu: Ethnohistorical and Archaeological Investigations of a Nineteenth-century Franciscan Mission in the Peruvian Montaña</t>
    </r>
    <r>
      <rPr>
        <sz val="11"/>
        <color theme="1"/>
        <rFont val="Calibri"/>
        <family val="2"/>
        <scheme val="minor"/>
      </rPr>
      <t>. University of Nebraska Studies: New Series N° 68. Nebraska, USA.</t>
    </r>
  </si>
  <si>
    <t>MYERS, Thomas. ca. 1987. Archaeological Evidencie from Dos de Mayo, Lower Ucayali River, Peru. 15 pp. Manuscrito inédito.</t>
  </si>
  <si>
    <t>MYERS, Thomas. ca.1987. Archaeological Evidencie from Dos de Mayo, Lower Ucayali River, Peru. 15 pp. Manuscrito inédito.</t>
  </si>
  <si>
    <r>
      <t xml:space="preserve">MYERS, Thomas. 1967. Reconocimiento arqueológico en el Ucayali Central. Pp. 5-7. </t>
    </r>
    <r>
      <rPr>
        <i/>
        <sz val="11"/>
        <color theme="1"/>
        <rFont val="Calibri"/>
        <family val="2"/>
        <scheme val="minor"/>
      </rPr>
      <t xml:space="preserve">Boletín del Museo Nacional de Arqueología y Antropología, </t>
    </r>
    <r>
      <rPr>
        <sz val="11"/>
        <color theme="1"/>
        <rFont val="Calibri"/>
        <family val="2"/>
        <scheme val="minor"/>
      </rPr>
      <t>Volumen 6. Lima, Perú.</t>
    </r>
  </si>
  <si>
    <r>
      <t xml:space="preserve">MYERS, Thomas. 1967. Reconocimiento arqueológico en el Ucayali Central. Pp. 5-7. </t>
    </r>
    <r>
      <rPr>
        <i/>
        <sz val="11"/>
        <color theme="1"/>
        <rFont val="Calibri"/>
        <family val="2"/>
        <scheme val="minor"/>
      </rPr>
      <t>Boletín del Museo Nacional de Arqueología y Antropología,</t>
    </r>
    <r>
      <rPr>
        <sz val="11"/>
        <color theme="1"/>
        <rFont val="Calibri"/>
        <family val="2"/>
        <scheme val="minor"/>
      </rPr>
      <t xml:space="preserve"> Volumen 6. Lima, Perú.</t>
    </r>
  </si>
  <si>
    <r>
      <t xml:space="preserve">COOMES, Oliver; Christian ABIZAID; Yoshito TAKASAKI; y Santiago RIVAS PANDURO. 2020. “The Lower Ucayali river in prehistory: Cultural chronology, archeological evidence and a recently discovered Pre-Columbian site”, Pp. 145-167 </t>
    </r>
    <r>
      <rPr>
        <i/>
        <sz val="11"/>
        <color theme="1"/>
        <rFont val="Calibri"/>
        <family val="2"/>
        <scheme val="minor"/>
      </rPr>
      <t xml:space="preserve">The Geographical Review </t>
    </r>
    <r>
      <rPr>
        <sz val="11"/>
        <color theme="1"/>
        <rFont val="Calibri"/>
        <family val="2"/>
        <scheme val="minor"/>
      </rPr>
      <t>111</t>
    </r>
    <r>
      <rPr>
        <i/>
        <sz val="11"/>
        <color theme="1"/>
        <rFont val="Calibri"/>
        <family val="2"/>
        <scheme val="minor"/>
      </rPr>
      <t xml:space="preserve">, </t>
    </r>
    <r>
      <rPr>
        <sz val="11"/>
        <color theme="1"/>
        <rFont val="Calibri"/>
        <family val="2"/>
        <scheme val="minor"/>
      </rPr>
      <t xml:space="preserve">https://doi.org/10.1080/00167428.2020.1777128 //Ing. Juan Carlos Vilca Tello (personal communcation to Santiago Rivas Panduro, 2015). </t>
    </r>
  </si>
  <si>
    <r>
      <t xml:space="preserve">SIIRIINEN, Ari; y, Tommi VOURINEN. 1989. Perun Amazonian arkeologiaa Tutkimuskia vaikeissa olosuhteissa. Pp. 43-49. </t>
    </r>
    <r>
      <rPr>
        <i/>
        <sz val="11"/>
        <color theme="1"/>
        <rFont val="Calibri"/>
        <family val="2"/>
        <scheme val="minor"/>
      </rPr>
      <t>Suomen Atropologi,</t>
    </r>
    <r>
      <rPr>
        <sz val="11"/>
        <color theme="1"/>
        <rFont val="Calibri"/>
        <family val="2"/>
        <scheme val="minor"/>
      </rPr>
      <t xml:space="preserve"> 4/89. Finlandia. // PANAIFO TEIXEIRA, Mónica. 1994. “Evaluación de nuestra arqueología Amazónica”. Pp. 169-229. </t>
    </r>
    <r>
      <rPr>
        <i/>
        <sz val="11"/>
        <color theme="1"/>
        <rFont val="Calibri"/>
        <family val="2"/>
        <scheme val="minor"/>
      </rPr>
      <t>Amazonia: en Busca de su Palabra</t>
    </r>
    <r>
      <rPr>
        <sz val="11"/>
        <color theme="1"/>
        <rFont val="Calibri"/>
        <family val="2"/>
        <scheme val="minor"/>
      </rPr>
      <t>. IIAP. Lima, Perú.</t>
    </r>
  </si>
  <si>
    <r>
      <t xml:space="preserve">PANAIFO TEIXEIRA, Mónica. 1994. “Evaluación de nuestra arqueología Amazónica”. Pp. 169-229. </t>
    </r>
    <r>
      <rPr>
        <i/>
        <sz val="11"/>
        <color theme="1"/>
        <rFont val="Calibri"/>
        <family val="2"/>
        <scheme val="minor"/>
      </rPr>
      <t>Amazonia: en Busca de su Palabra</t>
    </r>
    <r>
      <rPr>
        <sz val="11"/>
        <color theme="1"/>
        <rFont val="Calibri"/>
        <family val="2"/>
        <scheme val="minor"/>
      </rPr>
      <t>. IIAP. Lima, Perú.</t>
    </r>
  </si>
  <si>
    <r>
      <t xml:space="preserve">SIIRIINEN, Ari; y, Tommi VOURINEN. 1989. Perun Amazonian arkeologiaa Tutkimuskia vaikeissa olosuhteissa. Pp. 43-49. </t>
    </r>
    <r>
      <rPr>
        <i/>
        <sz val="11"/>
        <color theme="1"/>
        <rFont val="Calibri"/>
        <family val="2"/>
        <scheme val="minor"/>
      </rPr>
      <t>Suomen Atropologi</t>
    </r>
    <r>
      <rPr>
        <sz val="11"/>
        <color theme="1"/>
        <rFont val="Calibri"/>
        <family val="2"/>
        <scheme val="minor"/>
      </rPr>
      <t xml:space="preserve"> 4/89. Finlandia. // GÓMEZ JARECA, Pablo. 2012. Informe Técnico N° 2406-2012-CC-DA-MC. 6 Pp. Informe sobre delimitación del sitio arqueológico San Salvador y sitio arqueológico de Cachique, Distrito de Contamana, Provincia de Ucayali, Departamento de Loreto. Presentado al Director de la Dirección de Arqueología del Ministerio de Cultura. Lima, Perú.</t>
    </r>
  </si>
  <si>
    <r>
      <t xml:space="preserve">RIVAS PANDURO, Santiago; y, Mónica PANAIFO TEIXEIRA 2005. Hallazgos en el aitio arqueológico de Quistococha, Distrito de San Juan, Provincia de Maynas, región Loreto. 46 pp. Informe presentado al Instituto Nacional de Cultura de Loreto. Iquitos, Perú. // RIVAS PANDURO, Santiago. 2006. Proyecto de investigación excavaciones arqueológicas en Quistococha. Loreto, Amazonía peruana. 42 pp. Informe Final presentado al Instituto Nacional de Cultura (hoy Ministerio de Cultura). Iquitos, Perú. // RIVAS PANDURO, Santiago; Mónica PANAIFO TEIXEIRA; Augusto OYUELA CAYCEDO; y Andrew ZIMMERMAN. 2006. Informe Preliminar sobre los recientes hallazgos en el Sitio Arqueológicos Quistococha, Amazonia peruana. </t>
    </r>
    <r>
      <rPr>
        <i/>
        <sz val="11"/>
        <color theme="1"/>
        <rFont val="Calibri"/>
        <family val="2"/>
        <scheme val="minor"/>
      </rPr>
      <t>Boletín de Estudios Amazónicos</t>
    </r>
    <r>
      <rPr>
        <sz val="11"/>
        <color theme="1"/>
        <rFont val="Calibri"/>
        <family val="2"/>
        <scheme val="minor"/>
      </rPr>
      <t>. Publicación de la Maestría de Estudios Amazónicos. UNMSM. Lima, Perú.</t>
    </r>
  </si>
  <si>
    <t>VERA VEREAU, Melina Maribel; y, Rafael CABANILLAS CALDERÓN. 2006. Inventario y registro del patrimonio cultural de la nación: región Loreto. 136 pp. Informe Final presentado al Programa Qhapaq Ñan. Iquitos, Perú.</t>
  </si>
  <si>
    <t>RIVAS PANDURO, Santiago; Ricardo CHIRINOS PORTOCARRERO; Lúcia BORBA. 2008. Diagnóstico ambiental del componente socio-cultural y arqueología. 115 pp. Zonificación ecológica económica Bellavista-Mazán. Informe presentado al PEDICP. Iquitos, Perú.</t>
  </si>
  <si>
    <t>FIERRO HUATUCO, Koraíta. 2011. Plan de monitoreo arqueológico del programa exploratorio de los Lotes 129, 123 y 124. Departamento de Loreto. 109 pp. Informe Final presentado al Ministerio de Cultura. Lima, Perú. // CHUMPITAZ LLERENA, Daniel. 2011. Proyecto de evaluación arqueológica del campamento base providencia y del campamento volante 07. Lote 123. Derivado del Plan de Monitoreo Arqueológico del Programa Exploratorio de los Lotes 129, 123 y 124. Departamento de Loreto. 153 pp. Informe Final presentado al Ministerio de Cultura. Lima, Perú.</t>
  </si>
  <si>
    <t>FIERRO HUATUCO, Koraíta. 2012. Plan de monitoreo arqueológico del Programa Exploratorio de los Lotes 123 y 129. Departamento de Loreto. II temporada. 103 pp. Informe Final presentado al Ministerio de Cultura. Lima, Perú.</t>
  </si>
  <si>
    <t>FIERRO HUATUCO, Koraíta. 2012. Plan de monitoreo arqueológico del Programa Exploratorio de los lotes 123 y 129. Departamento de Loreto. II temporada. 103 pp. Informe Final presentado al Ministerio de Cultura. Lima, Perú.</t>
  </si>
  <si>
    <t>RIVAS PANDURO, Santiago; Ricardo CHIRINOS PORTOCARRERO; Lúcia BORBA. 2008. Diagnóstico ambiental del componente socio-cultural y arqueología. 115 pp. Zonificación Ecológica Económica Bellavista-Mazán. Informe presentado al PEDICP. Iquitos, Perú.</t>
  </si>
  <si>
    <t>VERA VEREAU, Melina Maribel; y, Rafael CABANILLAS CALDERÓN. 2006. Inventario y registro del patrimonio cultural de la nación: Región Loreto. 136 pp. Informe Final presentado al Programa Qhapaq Ñan. Iquitos, Perú. // RIVAS PANDURO, Santiago. 2014. Informe N°039-2014 SRP-SD-SDD-PCICI/DDC-LOR/MC. Informe de entrega de plano topográfico de Independencia. 1 pp. Informe presentado a la Dirección Desconcentrada de Cultura del Ministerio de Cultura. Iquitos, Perú.</t>
  </si>
  <si>
    <t>VERA VEREAU, Melina Maribel; y, Rafael CABANILLAS CALDERÓN. 2006. Inventario y registro del patrimonio cultural de la mación: Región Loreto. 136 pp. Informe Final presentado al Programa Qhapaq Ñan. Iquitos, Perú.</t>
  </si>
  <si>
    <t>SICCHA GARCÍA, Johnny Rohoy, 2007. Proyecto de evaluación arqueológica sin excavaciones para el área de adquisición sísmica en el Lote 39, Loreto, Perú. 59 PP. Informe Final presentado al Instituto Nacional de Cultura. Lima, Perú. //GEMA. 2008. Estudio de Línea Base Social del EIA Ampliación de 454 km de líneas sísmicas 2D Lote 39, para la empresa Repsol. 91 pp. Lima, Perú. // GEMA. 2008. Plan de Abandono Parcial de la Prospección Sísmica 2D (100 km) del Lote 39, para la empresa Repsol. 131 pp. Lima, Perú. // GEMA. 2010. Línea Base Social del EIA Prospección Sísmica 3D y perforación de veintiún (21) pozos exploratorios – Lote 39, para la empresa Repsol. 184 pp. Lima, Perú.</t>
  </si>
  <si>
    <t>ARROYO-KALIN, Manuel; y Santiago RIVAS PANDURO. 2013. Exploración arqueológica por el río Napo. Amazonía peruana. 24 pp. Informe N° 001 2013 / EARN / SRP / MA-K  presentado a la Dirección Desconcentrada de Cultura de Loreto del Ministerio de Cultura. Iquitos, Perú.</t>
  </si>
  <si>
    <t>SICCHA GARCÍA, Johnny Rohoy, 2007. Proyecto de evaluación arqueológica sin excavaciones para el área de adquisición sísmica en el Lote 39, Loreto, Perú. 59 PP. Informe Final presentado al Instituto Nacional de Cultura. Lima, Perú. // GEMA. 2008. Estudio de Línea Base Social del EIA Ampliación de 454 km de líneas sísmicas 2D Lote 39, para la empresa Repsol. 91 pp. Lima, Perú. // GEMA. 2010. Línea Base Social del EIA Prospección Sísmica 3D y perforación de veintiún (21) pozos exploratorios – Lote 39, para la empresa Repsol. 184 pp. Lima, Perú.</t>
  </si>
  <si>
    <t>SICCHA GARCÍA, Johnny Rohoy, 2007.  Proyecto de evaluación arqueológica sin excavaciones para el área de adquisición sísmica en el Lote 39, Loreto, Perú”. 59 PP. Informe Final presentado al Instituto Nacional de Cultura. Lima, Perú. // GEMA. 2010. Línea Base Social del EIA Prospección Sísmica 3D y perforación de veintiún (21) pozos exploratorios – Lote 39, para la empresa Repsol. 184 pp. Lima, Perú.</t>
  </si>
  <si>
    <t>GEMA. 2008. Estudio de Línea Base Social del EIA Ampliación de 454 km de líneas sísmicas 2D Lote 39, para la empresa Repsol. 91 pp. Lima, Perú.</t>
  </si>
  <si>
    <t>RIVAS PANDURO, Santiago. 2011.  Supervisión técnica de campo al proyecto: “Plan de Monitoreo Arqueológico en el Sector Norte del Lote 121 en: Campamento Base Logístico Norte Base Pantoja, Campamento Sub Base Logístico Norte Base Arcadia, Construcción de la Plataforma Nashiño 5X y Plataforma Nashiño 6X”. 11 pp. Informe N° 031-2011/AA/MC-DRC-LOR/SRP presentado a la Dirección Desconcentrada de Cultura del Ministerio de Cultura. Iquitos, Perú. // CHAMORRO CASTILLO, Violeta. 2011. Plan de monitoreo arqueológico en el sector norte del Lote 121 en: Campamento Base Logístico Pantoja, Campamento Subbase Logístico Arcadia, Plataforma Nashiño 5X y Plataforma Nashiño 6X. Maynas, Loreto. 129 pp. Informe Final presentado al Ministerio de Cultura. Lima, Perú. // MURGA PASTOR, Leonardo. 2013. Proyecto de evaluación arqueológica con excavaciones en el Campamento Base Logístico Norte, Base Pantoja, en el Sector Norte del Lote 121. Informe Final presentado al Ministerio de Cultura. Lima, Perú. // MURGA PASTOR, Leonardo. 2013. Proyecto de evaluación arqueológica con excavaciones en el Campamento Base Logístico Norte, Base Pantoja, en el Sector Norte del Lote 121. 67 pp. Adenda del Informe Final presentada al Ministerio de Cultura. Lima, Perú. // ARROYO-KALIN, Manuel; y Santiago RIVAS PANDURO. 2013. Exploración arqueológica por el río Napo. Amazonía peruana. 24 pp. Informe N° 001 2013 / EARN / SRP / MA-K  presentado a la Dirección Desconcentrada de Cultura de Loreto del Ministerio de Cultura. Iquitos, Perú.</t>
  </si>
  <si>
    <r>
      <t xml:space="preserve">BOLAÑOS, Aldo. 1990. Observaciones generales sobre la arqueología del río Napo. Pp. 41-48. </t>
    </r>
    <r>
      <rPr>
        <i/>
        <sz val="11"/>
        <color indexed="8"/>
        <rFont val="Calibri"/>
        <family val="2"/>
        <scheme val="minor"/>
      </rPr>
      <t>Gaceta Arqueológica Andina</t>
    </r>
    <r>
      <rPr>
        <sz val="11"/>
        <color theme="1"/>
        <rFont val="Calibri"/>
        <family val="2"/>
        <scheme val="minor"/>
      </rPr>
      <t>, Volumen V, N° 17. Lima, Perú. // ARROYO-KALIN, Manuel; y Santiago RIVAS PANDURO. 2013. Exploración arqueológica por el río Napo. Amazonía peruana. 24 pp. Informe N° 001 2013 / EARN / SRP / MA-K  presentado a la Dirección Desconcentrada de Cultura de Loreto del Ministerio de Cultura. Iquitos, Perú.</t>
    </r>
  </si>
  <si>
    <t>VERA VEREAU, Melina Maribel; y, Rafael CABANILLAS CALDERÓN. 2006. Inventario y registro del patrimonio cultural de la nación: Región Loreto. 136 pp. Informe Final presentado al Programa Qhapaq Ñan. Iquitos, Perú.</t>
  </si>
  <si>
    <t>DÁVILA MANRIQUE, Daniel. 2006. Proyecto de evaluación arqueológica de reconocimiento sin excavaciones de los estudios de perfiles integrados para proyectos de Plan Nacional de Electrificación Rural (PNER) – Grupo 10, Sectores 1 y 2, Departamentos de Amazonas, San Martín y Loreto”.  Informe Final presentado al Instituto Nacional de Cultura (hoy Ministerio de Cultura).; RVN° 486-2011-VMPCIC-MC</t>
  </si>
  <si>
    <t>DÁVILA MANRIQUE, Daniel. 2006. Proyecto de evaluación arqueológica de reconocimiento sin excavaciones de los estudios de perfiles integrados para royectos de Plan Nacional de Electrificación Rural (PNER) – Grupo 10, Sectores 1 y 2, Departamentos de Amazonas, San Martín y Loreto”.  Informe Final presentado al Instituto Nacional de Cultura (hoy Ministerio de Cultura).; RVN° 486-2011-VMPCIC-MC</t>
  </si>
  <si>
    <r>
      <t>HARRIS, Joanne M. 1967. The ceramic sequence at Cushillococha. Master´s thesis, University of Illinois, Urbana. // MYERS, Thomas. 1981. Hacia la reconstrucción de los patrones pre-históricos comunales en la hoya Amazónica. Pp. 31-63.</t>
    </r>
    <r>
      <rPr>
        <i/>
        <sz val="11"/>
        <color theme="1"/>
        <rFont val="Calibri"/>
        <family val="2"/>
        <scheme val="minor"/>
      </rPr>
      <t xml:space="preserve"> Amazonía Peruana</t>
    </r>
    <r>
      <rPr>
        <sz val="11"/>
        <color theme="1"/>
        <rFont val="Calibri"/>
        <family val="2"/>
        <scheme val="minor"/>
      </rPr>
      <t xml:space="preserve">, Vol. IV, Nº 7. Lima, Perú. </t>
    </r>
  </si>
  <si>
    <r>
      <t xml:space="preserve">HARRIS, Joanne M. 1967. The ceramic sequence at Cushillococha. Master´s thesis, University of Illinois, Urbana. // MYERS, Thomas. 1981. Hacia la reconstrucción de los patrones pre-históricos comunales en la hoya Amazónica. Pp. 31-63. </t>
    </r>
    <r>
      <rPr>
        <i/>
        <sz val="11"/>
        <color theme="1"/>
        <rFont val="Calibri"/>
        <family val="2"/>
        <scheme val="minor"/>
      </rPr>
      <t>Amazonía Peruana</t>
    </r>
    <r>
      <rPr>
        <sz val="11"/>
        <color theme="1"/>
        <rFont val="Calibri"/>
        <family val="2"/>
        <scheme val="minor"/>
      </rPr>
      <t>, Vol. IV, Nº 7. Lima, Perú. // RAMÍREZ MARTÍNEZ, Milena del Carmen. 2005. Monitoreo arqueológico en el pequeño sistema eléctrico Caballo Cocha, I Etapa. 59 pp. Informe Final presentado al Instituto Nacional de Cultura (hoy Ministerio de Cultura). Lima, Perú.</t>
    </r>
  </si>
  <si>
    <r>
      <t xml:space="preserve">HARRIS, Joanne M. 1967. The ceramic sequence at Cushillococha. Master´s thesis, University of Illinois, Urbana. // MYERS, Thomas. 1981. Hacia la reconstrucción de los patrones pre-históricos comunales en la hoya Amazónica. Pp. 31-63. </t>
    </r>
    <r>
      <rPr>
        <i/>
        <sz val="11"/>
        <color theme="1"/>
        <rFont val="Calibri"/>
        <family val="2"/>
        <scheme val="minor"/>
      </rPr>
      <t>Amazonía Peruana</t>
    </r>
    <r>
      <rPr>
        <sz val="11"/>
        <color theme="1"/>
        <rFont val="Calibri"/>
        <family val="2"/>
        <scheme val="minor"/>
      </rPr>
      <t xml:space="preserve">, Vol. IV, Nº 7. Lima, Perú.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</si>
</sst>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Calibri"/>
      <family val="2"/>
      <scheme val="minor"/>
    </font>
    <font>
      <sz val="11"/>
      <color rgb="FF333333"/>
      <name val="Calibri"/>
      <family val="2"/>
      <scheme val="minor"/>
    </font>
    <font>
      <sz val="11"/>
      <color rgb="FF000000"/>
      <name val="Calibri"/>
      <family val="2"/>
      <scheme val="minor"/>
    </font>
    <font>
      <b/>
      <sz val="14"/>
      <color theme="1"/>
      <name val="Calibri"/>
      <family val="2"/>
      <scheme val="minor"/>
    </font>
    <font>
      <b/>
      <sz val="16"/>
      <color theme="1"/>
      <name val="Calibri"/>
      <family val="2"/>
      <scheme val="minor"/>
    </font>
    <font>
      <i/>
      <sz val="11"/>
      <color theme="1"/>
      <name val="Calibri"/>
      <family val="2"/>
      <scheme val="minor"/>
    </font>
    <font>
      <i/>
      <sz val="11"/>
      <color indexed="8"/>
      <name val="Calibri"/>
      <family val="2"/>
      <scheme val="minor"/>
    </font>
    <font>
      <i/>
      <sz val="11"/>
      <color rgb="FF000000"/>
      <name val="Calibri"/>
      <family val="2"/>
      <scheme val="minor"/>
    </font>
    <font>
      <sz val="11"/>
      <color indexed="8"/>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10">
    <xf numFmtId="0" fontId="0" fillId="0" borderId="0" xfId="0"/>
    <xf numFmtId="0" fontId="0" fillId="2" borderId="0" xfId="0" applyFill="1"/>
    <xf numFmtId="0" fontId="1" fillId="0" borderId="0" xfId="0" applyFont="1"/>
    <xf numFmtId="0" fontId="0" fillId="2" borderId="0" xfId="0" applyFill="1" applyAlignment="1">
      <alignment horizontal="center"/>
    </xf>
    <xf numFmtId="0" fontId="1" fillId="0" borderId="1" xfId="0" applyFont="1" applyBorder="1" applyAlignment="1">
      <alignment horizontal="center" vertical="center"/>
    </xf>
    <xf numFmtId="0" fontId="1" fillId="0" borderId="7" xfId="0" applyFont="1" applyBorder="1" applyAlignment="1">
      <alignment horizontal="center" vertical="center"/>
    </xf>
    <xf numFmtId="49" fontId="1" fillId="0" borderId="7" xfId="0" applyNumberFormat="1" applyFont="1" applyFill="1" applyBorder="1" applyAlignment="1">
      <alignment horizontal="center" vertical="center"/>
    </xf>
    <xf numFmtId="49" fontId="1" fillId="2" borderId="0" xfId="0" applyNumberFormat="1" applyFont="1" applyFill="1"/>
    <xf numFmtId="0" fontId="0" fillId="2" borderId="5" xfId="0" applyFill="1" applyBorder="1"/>
    <xf numFmtId="0" fontId="5" fillId="2" borderId="0" xfId="0" applyFont="1" applyFill="1"/>
    <xf numFmtId="0" fontId="0" fillId="2" borderId="0" xfId="0" applyFill="1" applyBorder="1"/>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7" xfId="0" applyFont="1" applyFill="1" applyBorder="1" applyAlignment="1">
      <alignment horizontal="center"/>
    </xf>
    <xf numFmtId="0" fontId="4" fillId="2" borderId="3" xfId="0" applyFont="1" applyFill="1" applyBorder="1" applyAlignment="1">
      <alignment horizontal="center"/>
    </xf>
    <xf numFmtId="49" fontId="0" fillId="2" borderId="0" xfId="0" applyNumberFormat="1" applyFill="1" applyAlignment="1">
      <alignment horizontal="center"/>
    </xf>
    <xf numFmtId="0" fontId="4" fillId="2" borderId="1" xfId="0" applyFont="1" applyFill="1" applyBorder="1" applyAlignment="1">
      <alignment horizontal="left"/>
    </xf>
    <xf numFmtId="0" fontId="0" fillId="2" borderId="0" xfId="0" applyFont="1" applyFill="1" applyBorder="1"/>
    <xf numFmtId="49" fontId="0" fillId="2" borderId="0" xfId="0" applyNumberFormat="1" applyFont="1" applyFill="1" applyBorder="1"/>
    <xf numFmtId="0" fontId="4" fillId="0" borderId="7" xfId="0" applyFont="1" applyFill="1" applyBorder="1" applyAlignment="1">
      <alignment horizontal="center"/>
    </xf>
    <xf numFmtId="0" fontId="0" fillId="2" borderId="1" xfId="0" applyFont="1" applyFill="1" applyBorder="1" applyAlignment="1">
      <alignment horizontal="center" vertical="center"/>
    </xf>
    <xf numFmtId="0" fontId="4" fillId="0" borderId="1" xfId="0" applyFont="1" applyFill="1" applyBorder="1" applyAlignment="1">
      <alignment horizontal="center"/>
    </xf>
    <xf numFmtId="0" fontId="1" fillId="0" borderId="6" xfId="0" applyFont="1" applyBorder="1" applyAlignment="1">
      <alignment horizontal="center" vertical="center"/>
    </xf>
    <xf numFmtId="0" fontId="1" fillId="0" borderId="7" xfId="0" applyFont="1" applyFill="1" applyBorder="1" applyAlignment="1">
      <alignment horizontal="center" vertical="center"/>
    </xf>
    <xf numFmtId="0" fontId="4" fillId="2" borderId="2" xfId="0" applyFont="1" applyFill="1" applyBorder="1" applyAlignment="1">
      <alignment horizontal="center"/>
    </xf>
    <xf numFmtId="0" fontId="4" fillId="2" borderId="12" xfId="0" applyFont="1" applyFill="1" applyBorder="1" applyAlignment="1">
      <alignment horizontal="center"/>
    </xf>
    <xf numFmtId="0" fontId="2" fillId="2" borderId="6"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6" xfId="0" applyFont="1" applyFill="1" applyBorder="1" applyAlignment="1">
      <alignment horizontal="center" vertical="center" wrapText="1"/>
    </xf>
    <xf numFmtId="49" fontId="1" fillId="2" borderId="6" xfId="0" applyNumberFormat="1" applyFont="1" applyFill="1" applyBorder="1" applyAlignment="1">
      <alignment horizontal="center" vertical="center"/>
    </xf>
    <xf numFmtId="0" fontId="2" fillId="2" borderId="3"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0" borderId="1" xfId="0" applyFont="1" applyBorder="1" applyAlignment="1">
      <alignment horizontal="center" vertical="center"/>
    </xf>
    <xf numFmtId="49" fontId="0" fillId="0" borderId="7" xfId="0" applyNumberFormat="1" applyFont="1" applyBorder="1" applyAlignment="1">
      <alignment horizontal="center" vertical="center" wrapText="1"/>
    </xf>
    <xf numFmtId="0" fontId="0" fillId="0" borderId="7" xfId="0" applyFont="1" applyBorder="1" applyAlignment="1">
      <alignment horizontal="center" vertical="center"/>
    </xf>
    <xf numFmtId="0" fontId="0" fillId="0" borderId="7" xfId="0" applyFont="1" applyFill="1" applyBorder="1" applyAlignment="1">
      <alignment horizontal="center" vertical="center"/>
    </xf>
    <xf numFmtId="0" fontId="0" fillId="0" borderId="7"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left" vertical="center" wrapText="1"/>
    </xf>
    <xf numFmtId="49" fontId="0" fillId="2" borderId="0" xfId="0" applyNumberFormat="1" applyFont="1" applyFill="1"/>
    <xf numFmtId="0" fontId="0" fillId="2" borderId="0" xfId="0" applyFont="1" applyFill="1"/>
    <xf numFmtId="49" fontId="0" fillId="2" borderId="7" xfId="0" applyNumberFormat="1" applyFont="1" applyFill="1" applyBorder="1" applyAlignment="1">
      <alignment horizontal="center" vertical="center"/>
    </xf>
    <xf numFmtId="49" fontId="0" fillId="2" borderId="6" xfId="0" applyNumberFormat="1" applyFont="1" applyFill="1" applyBorder="1" applyAlignment="1">
      <alignment horizontal="center" vertical="center"/>
    </xf>
    <xf numFmtId="0" fontId="0" fillId="2" borderId="7" xfId="0" applyFont="1" applyFill="1" applyBorder="1" applyAlignment="1">
      <alignment horizontal="center" vertical="center"/>
    </xf>
    <xf numFmtId="0" fontId="0" fillId="2" borderId="6" xfId="0" applyFont="1" applyFill="1" applyBorder="1" applyAlignment="1">
      <alignment horizontal="center" vertical="center"/>
    </xf>
    <xf numFmtId="0" fontId="0" fillId="0" borderId="7" xfId="0" applyFont="1" applyBorder="1" applyAlignment="1">
      <alignment vertical="center" wrapText="1"/>
    </xf>
    <xf numFmtId="0" fontId="0" fillId="2" borderId="7" xfId="0" applyNumberFormat="1" applyFont="1" applyFill="1" applyBorder="1" applyAlignment="1">
      <alignment horizontal="center" vertical="center"/>
    </xf>
    <xf numFmtId="49" fontId="0" fillId="2" borderId="7" xfId="0" applyNumberFormat="1" applyFont="1" applyFill="1" applyBorder="1" applyAlignment="1">
      <alignment horizontal="center" vertical="center" wrapText="1"/>
    </xf>
    <xf numFmtId="0" fontId="0" fillId="0" borderId="6" xfId="0" applyFont="1" applyBorder="1" applyAlignment="1">
      <alignment horizontal="center" vertical="center"/>
    </xf>
    <xf numFmtId="49" fontId="0" fillId="2"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49" fontId="0" fillId="2" borderId="3" xfId="0" applyNumberFormat="1" applyFont="1" applyFill="1" applyBorder="1" applyAlignment="1">
      <alignment horizontal="center" vertical="center"/>
    </xf>
    <xf numFmtId="0" fontId="0" fillId="2" borderId="3" xfId="0" applyFont="1" applyFill="1" applyBorder="1" applyAlignment="1">
      <alignment horizontal="center" vertical="center"/>
    </xf>
    <xf numFmtId="0" fontId="0" fillId="0" borderId="1" xfId="0" applyFont="1" applyBorder="1" applyAlignment="1">
      <alignment vertical="center" wrapText="1"/>
    </xf>
    <xf numFmtId="49" fontId="0" fillId="0" borderId="1" xfId="0" applyNumberFormat="1" applyFont="1" applyFill="1" applyBorder="1" applyAlignment="1">
      <alignment horizontal="center" vertical="center"/>
    </xf>
    <xf numFmtId="0" fontId="0" fillId="2" borderId="1" xfId="0" applyNumberFormat="1" applyFont="1" applyFill="1" applyBorder="1" applyAlignment="1">
      <alignment horizontal="center" vertical="center"/>
    </xf>
    <xf numFmtId="0" fontId="0" fillId="0" borderId="7" xfId="0" applyFont="1" applyBorder="1" applyAlignment="1">
      <alignment vertical="center"/>
    </xf>
    <xf numFmtId="49" fontId="0" fillId="0" borderId="7" xfId="0" applyNumberFormat="1" applyFont="1" applyBorder="1" applyAlignment="1">
      <alignment horizontal="center" vertical="center"/>
    </xf>
    <xf numFmtId="49" fontId="0" fillId="0" borderId="7" xfId="0" applyNumberFormat="1" applyFont="1" applyFill="1" applyBorder="1" applyAlignment="1">
      <alignment horizontal="center" vertical="center"/>
    </xf>
    <xf numFmtId="0" fontId="0" fillId="2" borderId="6" xfId="0" applyNumberFormat="1" applyFont="1" applyFill="1" applyBorder="1" applyAlignment="1">
      <alignment horizontal="center" vertical="center"/>
    </xf>
    <xf numFmtId="0" fontId="0" fillId="0" borderId="0" xfId="0" applyFont="1"/>
    <xf numFmtId="49" fontId="0" fillId="2" borderId="1" xfId="0" applyNumberFormat="1" applyFont="1" applyFill="1" applyBorder="1" applyAlignment="1">
      <alignment horizontal="center" vertical="center" wrapText="1"/>
    </xf>
    <xf numFmtId="0" fontId="0" fillId="2" borderId="3" xfId="0" applyNumberFormat="1" applyFont="1" applyFill="1" applyBorder="1" applyAlignment="1">
      <alignment horizontal="center" vertical="center"/>
    </xf>
    <xf numFmtId="0" fontId="0" fillId="2" borderId="7" xfId="0" applyFont="1" applyFill="1" applyBorder="1" applyAlignment="1">
      <alignment horizontal="center" vertical="center" wrapText="1"/>
    </xf>
    <xf numFmtId="0" fontId="0" fillId="2" borderId="7" xfId="0" applyFont="1" applyFill="1" applyBorder="1" applyAlignment="1">
      <alignment horizontal="left" vertical="center" wrapText="1"/>
    </xf>
    <xf numFmtId="0" fontId="0" fillId="0" borderId="7" xfId="0" applyNumberFormat="1" applyFont="1" applyBorder="1" applyAlignment="1">
      <alignment horizontal="center" vertical="center"/>
    </xf>
    <xf numFmtId="49" fontId="0" fillId="0" borderId="6" xfId="0" applyNumberFormat="1" applyFont="1" applyBorder="1" applyAlignment="1">
      <alignment horizontal="center" vertical="center"/>
    </xf>
    <xf numFmtId="0" fontId="0" fillId="2" borderId="7" xfId="0" applyFont="1" applyFill="1" applyBorder="1" applyAlignment="1">
      <alignment vertical="center" wrapText="1"/>
    </xf>
    <xf numFmtId="0" fontId="0" fillId="0" borderId="3" xfId="0" applyFont="1" applyBorder="1" applyAlignment="1">
      <alignment horizontal="center" vertical="center"/>
    </xf>
    <xf numFmtId="0" fontId="0" fillId="0" borderId="4" xfId="0" applyFont="1" applyBorder="1" applyAlignment="1">
      <alignment horizontal="center" vertical="center"/>
    </xf>
    <xf numFmtId="49" fontId="0" fillId="0" borderId="1" xfId="0" applyNumberFormat="1"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2" xfId="0" applyFont="1" applyFill="1" applyBorder="1" applyAlignment="1">
      <alignment horizontal="center" vertical="center"/>
    </xf>
    <xf numFmtId="49" fontId="0" fillId="2" borderId="3" xfId="0" applyNumberFormat="1" applyFont="1" applyFill="1" applyBorder="1" applyAlignment="1">
      <alignment horizontal="center" vertical="center" wrapText="1"/>
    </xf>
    <xf numFmtId="49" fontId="0" fillId="2" borderId="6" xfId="0" applyNumberFormat="1" applyFont="1" applyFill="1" applyBorder="1" applyAlignment="1">
      <alignment horizontal="center" vertical="center" wrapText="1"/>
    </xf>
    <xf numFmtId="0" fontId="0" fillId="0" borderId="1" xfId="0" applyFont="1" applyBorder="1" applyAlignment="1">
      <alignment horizontal="left" vertical="center" wrapText="1"/>
    </xf>
    <xf numFmtId="0" fontId="0" fillId="2" borderId="11" xfId="0" applyFont="1" applyFill="1" applyBorder="1" applyAlignment="1">
      <alignment horizontal="center" vertical="center"/>
    </xf>
    <xf numFmtId="0" fontId="0" fillId="2" borderId="8" xfId="0" applyFont="1" applyFill="1" applyBorder="1"/>
    <xf numFmtId="0" fontId="0" fillId="0" borderId="7"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0" borderId="7" xfId="0" applyFont="1" applyFill="1" applyBorder="1" applyAlignment="1">
      <alignment vertical="center" wrapText="1"/>
    </xf>
    <xf numFmtId="49" fontId="0" fillId="0" borderId="0" xfId="0" applyNumberFormat="1" applyFont="1" applyFill="1"/>
    <xf numFmtId="0" fontId="0" fillId="0" borderId="0" xfId="0" applyFont="1" applyFill="1"/>
    <xf numFmtId="0" fontId="0" fillId="0" borderId="4" xfId="0" applyFont="1" applyFill="1" applyBorder="1" applyAlignment="1">
      <alignment horizontal="center" vertical="center"/>
    </xf>
    <xf numFmtId="49" fontId="0" fillId="0" borderId="1" xfId="0" applyNumberFormat="1" applyFont="1" applyBorder="1" applyAlignment="1">
      <alignment horizontal="center" vertical="center"/>
    </xf>
    <xf numFmtId="0" fontId="0" fillId="0" borderId="6" xfId="0" applyNumberFormat="1" applyFont="1" applyFill="1" applyBorder="1" applyAlignment="1">
      <alignment horizontal="center" vertical="center"/>
    </xf>
    <xf numFmtId="0" fontId="0" fillId="2" borderId="0" xfId="0" applyFont="1" applyFill="1" applyAlignment="1">
      <alignment horizontal="center" vertical="center"/>
    </xf>
    <xf numFmtId="0" fontId="0" fillId="0" borderId="6" xfId="0" applyFont="1" applyFill="1" applyBorder="1" applyAlignment="1">
      <alignment horizontal="center" vertical="center" wrapText="1"/>
    </xf>
    <xf numFmtId="0" fontId="0" fillId="0" borderId="7" xfId="0" applyNumberFormat="1" applyFont="1" applyFill="1" applyBorder="1" applyAlignment="1">
      <alignment horizontal="center" vertical="center"/>
    </xf>
    <xf numFmtId="49" fontId="0" fillId="0" borderId="6" xfId="0" applyNumberFormat="1" applyFont="1" applyFill="1" applyBorder="1" applyAlignment="1">
      <alignment horizontal="center" vertical="center"/>
    </xf>
    <xf numFmtId="0" fontId="0" fillId="0" borderId="7" xfId="0" applyFont="1" applyFill="1" applyBorder="1" applyAlignment="1">
      <alignment horizontal="left" vertical="center" wrapText="1"/>
    </xf>
    <xf numFmtId="0" fontId="0" fillId="0" borderId="1"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0" fillId="0" borderId="1" xfId="0" applyFont="1" applyBorder="1" applyAlignment="1">
      <alignment horizontal="center" vertical="center" wrapText="1"/>
    </xf>
    <xf numFmtId="49" fontId="0" fillId="0" borderId="6" xfId="0" applyNumberFormat="1" applyFont="1" applyBorder="1" applyAlignment="1">
      <alignment horizontal="center" vertical="center" wrapText="1"/>
    </xf>
    <xf numFmtId="0" fontId="0" fillId="2" borderId="1" xfId="0" applyFont="1" applyFill="1" applyBorder="1" applyAlignment="1">
      <alignment vertical="center" wrapText="1"/>
    </xf>
    <xf numFmtId="49" fontId="0" fillId="0" borderId="0" xfId="0" applyNumberFormat="1" applyFont="1"/>
    <xf numFmtId="0" fontId="0" fillId="0" borderId="0" xfId="0" applyFont="1" applyFill="1" applyBorder="1"/>
    <xf numFmtId="0" fontId="0"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0" fillId="0" borderId="0" xfId="0" applyFont="1" applyBorder="1"/>
    <xf numFmtId="0" fontId="0" fillId="0" borderId="5" xfId="0" applyFont="1" applyBorder="1"/>
    <xf numFmtId="0" fontId="9" fillId="0" borderId="7" xfId="0" applyFont="1" applyBorder="1" applyAlignment="1">
      <alignment vertical="center" wrapText="1"/>
    </xf>
    <xf numFmtId="49" fontId="0" fillId="2" borderId="0" xfId="0" applyNumberFormat="1" applyFill="1"/>
    <xf numFmtId="0" fontId="0" fillId="2" borderId="0" xfId="0" applyFill="1" applyAlignment="1">
      <alignment horizontal="left"/>
    </xf>
    <xf numFmtId="15" fontId="10"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9122-269F-4D9A-AFF2-E41495489723}">
  <dimension ref="A1:BE426"/>
  <sheetViews>
    <sheetView tabSelected="1" zoomScale="75" zoomScaleNormal="75" workbookViewId="0"/>
  </sheetViews>
  <sheetFormatPr defaultRowHeight="14.5" x14ac:dyDescent="0.35"/>
  <cols>
    <col min="1" max="1" width="12" customWidth="1"/>
    <col min="2" max="2" width="55" customWidth="1"/>
    <col min="3" max="3" width="26.6328125" customWidth="1"/>
    <col min="4" max="4" width="14.6328125" customWidth="1"/>
    <col min="5" max="5" width="19" customWidth="1"/>
    <col min="6" max="6" width="24.6328125" customWidth="1"/>
    <col min="7" max="7" width="19.1796875" customWidth="1"/>
    <col min="8" max="8" width="13.26953125" bestFit="1" customWidth="1"/>
    <col min="9" max="9" width="27.453125" customWidth="1"/>
    <col min="10" max="10" width="16.08984375" customWidth="1"/>
    <col min="11" max="11" width="11.36328125" customWidth="1"/>
    <col min="12" max="12" width="26.7265625" customWidth="1"/>
    <col min="13" max="13" width="105.36328125" customWidth="1"/>
    <col min="14" max="79" width="97.81640625" customWidth="1"/>
  </cols>
  <sheetData>
    <row r="1" spans="1:14" ht="21" x14ac:dyDescent="0.5">
      <c r="A1" s="9" t="s">
        <v>628</v>
      </c>
      <c r="B1" s="1"/>
      <c r="C1" s="1"/>
      <c r="D1" s="1"/>
      <c r="E1" s="1"/>
      <c r="F1" s="10"/>
      <c r="G1" s="1"/>
      <c r="H1" s="1"/>
      <c r="I1" s="1"/>
      <c r="J1" s="1"/>
      <c r="K1" s="1"/>
      <c r="L1" s="1"/>
      <c r="M1" s="109">
        <v>44204</v>
      </c>
      <c r="N1" s="1"/>
    </row>
    <row r="2" spans="1:14" x14ac:dyDescent="0.35">
      <c r="A2" s="8"/>
      <c r="B2" s="8"/>
      <c r="C2" s="8"/>
      <c r="D2" s="8"/>
      <c r="E2" s="8"/>
      <c r="F2" s="8"/>
      <c r="G2" s="8"/>
      <c r="H2" s="8"/>
      <c r="I2" s="8"/>
      <c r="J2" s="8"/>
      <c r="K2" s="8"/>
      <c r="L2" s="8"/>
      <c r="M2" s="8"/>
      <c r="N2" s="1"/>
    </row>
    <row r="3" spans="1:14" ht="18.5" x14ac:dyDescent="0.45">
      <c r="A3" s="13" t="s">
        <v>629</v>
      </c>
      <c r="B3" s="14"/>
      <c r="C3" s="14" t="s">
        <v>9</v>
      </c>
      <c r="D3" s="14" t="s">
        <v>9</v>
      </c>
      <c r="E3" s="14" t="s">
        <v>9</v>
      </c>
      <c r="F3" s="14" t="s">
        <v>9</v>
      </c>
      <c r="G3" s="11" t="s">
        <v>635</v>
      </c>
      <c r="H3" s="27"/>
      <c r="I3" s="16"/>
      <c r="J3" s="18" t="s">
        <v>650</v>
      </c>
      <c r="K3" s="18"/>
      <c r="L3" s="14" t="s">
        <v>653</v>
      </c>
      <c r="M3" s="14" t="s">
        <v>9</v>
      </c>
      <c r="N3" s="1"/>
    </row>
    <row r="4" spans="1:14" ht="18.5" x14ac:dyDescent="0.45">
      <c r="A4" s="12" t="s">
        <v>630</v>
      </c>
      <c r="B4" s="15" t="s">
        <v>636</v>
      </c>
      <c r="C4" s="15" t="s">
        <v>637</v>
      </c>
      <c r="D4" s="15" t="s">
        <v>625</v>
      </c>
      <c r="E4" s="15" t="s">
        <v>624</v>
      </c>
      <c r="F4" s="15" t="s">
        <v>623</v>
      </c>
      <c r="G4" s="26" t="s">
        <v>626</v>
      </c>
      <c r="H4" s="12" t="s">
        <v>627</v>
      </c>
      <c r="I4" s="12" t="s">
        <v>687</v>
      </c>
      <c r="J4" s="23" t="s">
        <v>649</v>
      </c>
      <c r="K4" s="15" t="s">
        <v>648</v>
      </c>
      <c r="L4" s="21" t="s">
        <v>654</v>
      </c>
      <c r="M4" s="15" t="s">
        <v>638</v>
      </c>
      <c r="N4" s="1"/>
    </row>
    <row r="5" spans="1:14" s="42" customFormat="1" ht="50.25" customHeight="1" x14ac:dyDescent="0.35">
      <c r="A5" s="34">
        <v>1</v>
      </c>
      <c r="B5" s="35" t="s">
        <v>6</v>
      </c>
      <c r="C5" s="36" t="s">
        <v>21</v>
      </c>
      <c r="D5" s="37" t="s">
        <v>3</v>
      </c>
      <c r="E5" s="37" t="s">
        <v>3</v>
      </c>
      <c r="F5" s="52" t="s">
        <v>7</v>
      </c>
      <c r="G5" s="28">
        <v>-4.3143683182939503</v>
      </c>
      <c r="H5" s="30">
        <v>-73.456365546097103</v>
      </c>
      <c r="I5" s="30" t="s">
        <v>688</v>
      </c>
      <c r="J5" s="38">
        <v>111</v>
      </c>
      <c r="K5" s="39" t="s">
        <v>21</v>
      </c>
      <c r="L5" s="22" t="s">
        <v>21</v>
      </c>
      <c r="M5" s="40" t="s">
        <v>4</v>
      </c>
      <c r="N5" s="41"/>
    </row>
    <row r="6" spans="1:14" s="42" customFormat="1" ht="47.25" customHeight="1" x14ac:dyDescent="0.35">
      <c r="A6" s="34">
        <f t="shared" ref="A6:A69" si="0">+(A5+1)</f>
        <v>2</v>
      </c>
      <c r="B6" s="35" t="s">
        <v>8</v>
      </c>
      <c r="C6" s="36" t="s">
        <v>21</v>
      </c>
      <c r="D6" s="37" t="s">
        <v>3</v>
      </c>
      <c r="E6" s="37" t="s">
        <v>3</v>
      </c>
      <c r="F6" s="37" t="s">
        <v>7</v>
      </c>
      <c r="G6" s="28">
        <v>-4.2941266838403997</v>
      </c>
      <c r="H6" s="30">
        <v>-73.437533348648103</v>
      </c>
      <c r="I6" s="30" t="s">
        <v>688</v>
      </c>
      <c r="J6" s="38">
        <v>105</v>
      </c>
      <c r="K6" s="39" t="s">
        <v>21</v>
      </c>
      <c r="L6" s="22" t="s">
        <v>21</v>
      </c>
      <c r="M6" s="40" t="s">
        <v>4</v>
      </c>
      <c r="N6" s="41"/>
    </row>
    <row r="7" spans="1:14" s="42" customFormat="1" ht="48" customHeight="1" x14ac:dyDescent="0.35">
      <c r="A7" s="34">
        <f t="shared" si="0"/>
        <v>3</v>
      </c>
      <c r="B7" s="35" t="s">
        <v>10</v>
      </c>
      <c r="C7" s="36" t="s">
        <v>21</v>
      </c>
      <c r="D7" s="37" t="s">
        <v>3</v>
      </c>
      <c r="E7" s="37" t="s">
        <v>3</v>
      </c>
      <c r="F7" s="37" t="s">
        <v>7</v>
      </c>
      <c r="G7" s="30">
        <v>-4.2853916021675502</v>
      </c>
      <c r="H7" s="30">
        <v>-73.429155253568396</v>
      </c>
      <c r="I7" s="30" t="s">
        <v>688</v>
      </c>
      <c r="J7" s="38">
        <v>103</v>
      </c>
      <c r="K7" s="39" t="s">
        <v>21</v>
      </c>
      <c r="L7" s="22" t="s">
        <v>21</v>
      </c>
      <c r="M7" s="40" t="s">
        <v>4</v>
      </c>
      <c r="N7" s="41"/>
    </row>
    <row r="8" spans="1:14" s="42" customFormat="1" ht="53.5" customHeight="1" x14ac:dyDescent="0.35">
      <c r="A8" s="22">
        <f t="shared" si="0"/>
        <v>4</v>
      </c>
      <c r="B8" s="36" t="s">
        <v>34</v>
      </c>
      <c r="C8" s="43" t="s">
        <v>21</v>
      </c>
      <c r="D8" s="37" t="s">
        <v>3</v>
      </c>
      <c r="E8" s="37" t="s">
        <v>3</v>
      </c>
      <c r="F8" s="37" t="s">
        <v>7</v>
      </c>
      <c r="G8" s="44">
        <v>-4.3120198070716276</v>
      </c>
      <c r="H8" s="44">
        <v>-73.452580734748764</v>
      </c>
      <c r="I8" s="44" t="s">
        <v>689</v>
      </c>
      <c r="J8" s="45">
        <v>93</v>
      </c>
      <c r="K8" s="46">
        <v>125</v>
      </c>
      <c r="L8" s="22" t="s">
        <v>21</v>
      </c>
      <c r="M8" s="47" t="s">
        <v>35</v>
      </c>
      <c r="N8" s="41"/>
    </row>
    <row r="9" spans="1:14" s="42" customFormat="1" ht="59" customHeight="1" x14ac:dyDescent="0.35">
      <c r="A9" s="22">
        <f t="shared" si="0"/>
        <v>5</v>
      </c>
      <c r="B9" s="36" t="s">
        <v>706</v>
      </c>
      <c r="C9" s="43" t="s">
        <v>21</v>
      </c>
      <c r="D9" s="37" t="s">
        <v>3</v>
      </c>
      <c r="E9" s="37" t="s">
        <v>3</v>
      </c>
      <c r="F9" s="37" t="s">
        <v>7</v>
      </c>
      <c r="G9" s="44">
        <v>-4.2931572178728556</v>
      </c>
      <c r="H9" s="44">
        <v>-73.436239002986071</v>
      </c>
      <c r="I9" s="44" t="s">
        <v>689</v>
      </c>
      <c r="J9" s="45">
        <v>113</v>
      </c>
      <c r="K9" s="46">
        <v>122</v>
      </c>
      <c r="L9" s="22" t="s">
        <v>21</v>
      </c>
      <c r="M9" s="47" t="s">
        <v>35</v>
      </c>
      <c r="N9" s="41"/>
    </row>
    <row r="10" spans="1:14" s="42" customFormat="1" ht="63.5" customHeight="1" x14ac:dyDescent="0.35">
      <c r="A10" s="22">
        <f t="shared" si="0"/>
        <v>6</v>
      </c>
      <c r="B10" s="36" t="s">
        <v>36</v>
      </c>
      <c r="C10" s="43" t="s">
        <v>21</v>
      </c>
      <c r="D10" s="37" t="s">
        <v>3</v>
      </c>
      <c r="E10" s="37" t="s">
        <v>3</v>
      </c>
      <c r="F10" s="37" t="s">
        <v>7</v>
      </c>
      <c r="G10" s="44">
        <v>-4.2352431145108236</v>
      </c>
      <c r="H10" s="44">
        <v>-73.375372949949153</v>
      </c>
      <c r="I10" s="44" t="s">
        <v>689</v>
      </c>
      <c r="J10" s="45">
        <v>95</v>
      </c>
      <c r="K10" s="46">
        <v>99</v>
      </c>
      <c r="L10" s="22" t="s">
        <v>21</v>
      </c>
      <c r="M10" s="47" t="s">
        <v>35</v>
      </c>
      <c r="N10" s="41"/>
    </row>
    <row r="11" spans="1:14" s="42" customFormat="1" ht="63" customHeight="1" x14ac:dyDescent="0.35">
      <c r="A11" s="22">
        <f t="shared" si="0"/>
        <v>7</v>
      </c>
      <c r="B11" s="36" t="s">
        <v>118</v>
      </c>
      <c r="C11" s="43" t="s">
        <v>117</v>
      </c>
      <c r="D11" s="37" t="s">
        <v>3</v>
      </c>
      <c r="E11" s="37" t="s">
        <v>3</v>
      </c>
      <c r="F11" s="37" t="s">
        <v>7</v>
      </c>
      <c r="G11" s="44">
        <v>-4.5126773105758273</v>
      </c>
      <c r="H11" s="44">
        <v>-73.905677995535612</v>
      </c>
      <c r="I11" s="44" t="s">
        <v>689</v>
      </c>
      <c r="J11" s="48">
        <v>103</v>
      </c>
      <c r="K11" s="44">
        <v>102</v>
      </c>
      <c r="L11" s="22" t="s">
        <v>21</v>
      </c>
      <c r="M11" s="47" t="s">
        <v>35</v>
      </c>
      <c r="N11" s="41"/>
    </row>
    <row r="12" spans="1:14" s="42" customFormat="1" ht="125" customHeight="1" x14ac:dyDescent="0.35">
      <c r="A12" s="22">
        <f t="shared" si="0"/>
        <v>8</v>
      </c>
      <c r="B12" s="36" t="s">
        <v>119</v>
      </c>
      <c r="C12" s="49" t="s">
        <v>641</v>
      </c>
      <c r="D12" s="37" t="s">
        <v>3</v>
      </c>
      <c r="E12" s="37" t="s">
        <v>3</v>
      </c>
      <c r="F12" s="37" t="s">
        <v>7</v>
      </c>
      <c r="G12" s="44">
        <v>-4.5421460005236893</v>
      </c>
      <c r="H12" s="44">
        <v>-73.858837361218832</v>
      </c>
      <c r="I12" s="44" t="s">
        <v>689</v>
      </c>
      <c r="J12" s="48">
        <v>105</v>
      </c>
      <c r="K12" s="44">
        <v>127</v>
      </c>
      <c r="L12" s="22" t="s">
        <v>21</v>
      </c>
      <c r="M12" s="47" t="s">
        <v>721</v>
      </c>
      <c r="N12" s="41"/>
    </row>
    <row r="13" spans="1:14" s="42" customFormat="1" ht="129.5" customHeight="1" x14ac:dyDescent="0.35">
      <c r="A13" s="22">
        <f t="shared" si="0"/>
        <v>9</v>
      </c>
      <c r="B13" s="36" t="s">
        <v>120</v>
      </c>
      <c r="C13" s="49" t="s">
        <v>642</v>
      </c>
      <c r="D13" s="37" t="s">
        <v>3</v>
      </c>
      <c r="E13" s="37" t="s">
        <v>3</v>
      </c>
      <c r="F13" s="37" t="s">
        <v>7</v>
      </c>
      <c r="G13" s="44">
        <v>-4.5686292435288713</v>
      </c>
      <c r="H13" s="44">
        <v>-73.787004597066485</v>
      </c>
      <c r="I13" s="44" t="s">
        <v>689</v>
      </c>
      <c r="J13" s="48">
        <v>109</v>
      </c>
      <c r="K13" s="44">
        <v>117</v>
      </c>
      <c r="L13" s="22" t="s">
        <v>21</v>
      </c>
      <c r="M13" s="47" t="s">
        <v>721</v>
      </c>
      <c r="N13" s="41"/>
    </row>
    <row r="14" spans="1:14" s="42" customFormat="1" ht="66" customHeight="1" x14ac:dyDescent="0.35">
      <c r="A14" s="22">
        <f t="shared" si="0"/>
        <v>10</v>
      </c>
      <c r="B14" s="36" t="s">
        <v>122</v>
      </c>
      <c r="C14" s="43" t="s">
        <v>121</v>
      </c>
      <c r="D14" s="37" t="s">
        <v>3</v>
      </c>
      <c r="E14" s="37" t="s">
        <v>3</v>
      </c>
      <c r="F14" s="37" t="s">
        <v>7</v>
      </c>
      <c r="G14" s="44">
        <v>-4.5706196799395302</v>
      </c>
      <c r="H14" s="44">
        <v>-73.782025959198336</v>
      </c>
      <c r="I14" s="44" t="s">
        <v>689</v>
      </c>
      <c r="J14" s="48">
        <v>115</v>
      </c>
      <c r="K14" s="44">
        <v>112</v>
      </c>
      <c r="L14" s="22" t="s">
        <v>21</v>
      </c>
      <c r="M14" s="47" t="s">
        <v>35</v>
      </c>
      <c r="N14" s="41"/>
    </row>
    <row r="15" spans="1:14" s="42" customFormat="1" ht="127.5" customHeight="1" x14ac:dyDescent="0.35">
      <c r="A15" s="22">
        <f t="shared" si="0"/>
        <v>11</v>
      </c>
      <c r="B15" s="36" t="s">
        <v>123</v>
      </c>
      <c r="C15" s="49" t="s">
        <v>643</v>
      </c>
      <c r="D15" s="37" t="s">
        <v>3</v>
      </c>
      <c r="E15" s="37" t="s">
        <v>3</v>
      </c>
      <c r="F15" s="37" t="s">
        <v>7</v>
      </c>
      <c r="G15" s="44">
        <v>-4.5727176094027309</v>
      </c>
      <c r="H15" s="44">
        <v>-73.776461260545005</v>
      </c>
      <c r="I15" s="44" t="s">
        <v>689</v>
      </c>
      <c r="J15" s="48">
        <v>100</v>
      </c>
      <c r="K15" s="44">
        <v>116</v>
      </c>
      <c r="L15" s="22" t="s">
        <v>21</v>
      </c>
      <c r="M15" s="47" t="s">
        <v>721</v>
      </c>
      <c r="N15" s="41"/>
    </row>
    <row r="16" spans="1:14" s="42" customFormat="1" ht="61" customHeight="1" x14ac:dyDescent="0.35">
      <c r="A16" s="22">
        <f t="shared" si="0"/>
        <v>12</v>
      </c>
      <c r="B16" s="36" t="s">
        <v>125</v>
      </c>
      <c r="C16" s="43" t="s">
        <v>124</v>
      </c>
      <c r="D16" s="37" t="s">
        <v>3</v>
      </c>
      <c r="E16" s="37" t="s">
        <v>3</v>
      </c>
      <c r="F16" s="37" t="s">
        <v>7</v>
      </c>
      <c r="G16" s="44">
        <v>-4.4972989679905497</v>
      </c>
      <c r="H16" s="44">
        <v>-73.566169254690422</v>
      </c>
      <c r="I16" s="44" t="s">
        <v>689</v>
      </c>
      <c r="J16" s="48">
        <v>122</v>
      </c>
      <c r="K16" s="44">
        <v>132</v>
      </c>
      <c r="L16" s="22" t="s">
        <v>21</v>
      </c>
      <c r="M16" s="47" t="s">
        <v>35</v>
      </c>
      <c r="N16" s="41"/>
    </row>
    <row r="17" spans="1:14" s="42" customFormat="1" ht="59.5" customHeight="1" x14ac:dyDescent="0.35">
      <c r="A17" s="22">
        <f t="shared" si="0"/>
        <v>13</v>
      </c>
      <c r="B17" s="36" t="s">
        <v>127</v>
      </c>
      <c r="C17" s="43" t="s">
        <v>126</v>
      </c>
      <c r="D17" s="37" t="s">
        <v>3</v>
      </c>
      <c r="E17" s="37" t="s">
        <v>3</v>
      </c>
      <c r="F17" s="37" t="s">
        <v>7</v>
      </c>
      <c r="G17" s="44">
        <v>-4.4611332178551883</v>
      </c>
      <c r="H17" s="44">
        <v>-73.53009658756234</v>
      </c>
      <c r="I17" s="44" t="s">
        <v>689</v>
      </c>
      <c r="J17" s="48">
        <v>108</v>
      </c>
      <c r="K17" s="44">
        <v>128</v>
      </c>
      <c r="L17" s="22" t="s">
        <v>21</v>
      </c>
      <c r="M17" s="47" t="s">
        <v>35</v>
      </c>
      <c r="N17" s="41"/>
    </row>
    <row r="18" spans="1:14" s="42" customFormat="1" ht="59" customHeight="1" x14ac:dyDescent="0.35">
      <c r="A18" s="22">
        <f t="shared" si="0"/>
        <v>14</v>
      </c>
      <c r="B18" s="36" t="s">
        <v>129</v>
      </c>
      <c r="C18" s="43" t="s">
        <v>128</v>
      </c>
      <c r="D18" s="37" t="s">
        <v>3</v>
      </c>
      <c r="E18" s="37" t="s">
        <v>3</v>
      </c>
      <c r="F18" s="37" t="s">
        <v>7</v>
      </c>
      <c r="G18" s="44">
        <v>-4.4709016455830488</v>
      </c>
      <c r="H18" s="44">
        <v>-73.59516483956159</v>
      </c>
      <c r="I18" s="44" t="s">
        <v>689</v>
      </c>
      <c r="J18" s="48">
        <v>105</v>
      </c>
      <c r="K18" s="44">
        <v>125</v>
      </c>
      <c r="L18" s="22" t="s">
        <v>21</v>
      </c>
      <c r="M18" s="47" t="s">
        <v>35</v>
      </c>
      <c r="N18" s="41"/>
    </row>
    <row r="19" spans="1:14" s="42" customFormat="1" ht="51" customHeight="1" x14ac:dyDescent="0.35">
      <c r="A19" s="22">
        <f t="shared" si="0"/>
        <v>15</v>
      </c>
      <c r="B19" s="50" t="s">
        <v>131</v>
      </c>
      <c r="C19" s="43" t="s">
        <v>130</v>
      </c>
      <c r="D19" s="37" t="s">
        <v>3</v>
      </c>
      <c r="E19" s="37" t="s">
        <v>3</v>
      </c>
      <c r="F19" s="37" t="s">
        <v>7</v>
      </c>
      <c r="G19" s="44">
        <v>-4.4708971985056571</v>
      </c>
      <c r="H19" s="44">
        <v>-73.592848945249742</v>
      </c>
      <c r="I19" s="44" t="s">
        <v>689</v>
      </c>
      <c r="J19" s="45">
        <v>116</v>
      </c>
      <c r="K19" s="46">
        <v>99</v>
      </c>
      <c r="L19" s="22" t="s">
        <v>21</v>
      </c>
      <c r="M19" s="47" t="s">
        <v>35</v>
      </c>
      <c r="N19" s="41"/>
    </row>
    <row r="20" spans="1:14" s="42" customFormat="1" ht="65.5" customHeight="1" x14ac:dyDescent="0.35">
      <c r="A20" s="45">
        <f t="shared" si="0"/>
        <v>16</v>
      </c>
      <c r="B20" s="36" t="s">
        <v>133</v>
      </c>
      <c r="C20" s="43" t="s">
        <v>132</v>
      </c>
      <c r="D20" s="37" t="s">
        <v>3</v>
      </c>
      <c r="E20" s="37" t="s">
        <v>3</v>
      </c>
      <c r="F20" s="37" t="s">
        <v>7</v>
      </c>
      <c r="G20" s="44">
        <v>-4.5648065521978722</v>
      </c>
      <c r="H20" s="44">
        <v>-73.666535058007383</v>
      </c>
      <c r="I20" s="44" t="s">
        <v>689</v>
      </c>
      <c r="J20" s="45">
        <v>97</v>
      </c>
      <c r="K20" s="46">
        <v>106</v>
      </c>
      <c r="L20" s="22" t="s">
        <v>21</v>
      </c>
      <c r="M20" s="47" t="s">
        <v>35</v>
      </c>
      <c r="N20" s="41"/>
    </row>
    <row r="21" spans="1:14" s="42" customFormat="1" ht="66" customHeight="1" x14ac:dyDescent="0.35">
      <c r="A21" s="22">
        <f t="shared" si="0"/>
        <v>17</v>
      </c>
      <c r="B21" s="34" t="s">
        <v>135</v>
      </c>
      <c r="C21" s="51" t="s">
        <v>134</v>
      </c>
      <c r="D21" s="52" t="s">
        <v>3</v>
      </c>
      <c r="E21" s="52" t="s">
        <v>3</v>
      </c>
      <c r="F21" s="52" t="s">
        <v>7</v>
      </c>
      <c r="G21" s="53">
        <v>-4.5721477476108294</v>
      </c>
      <c r="H21" s="53">
        <v>-73.694479413912532</v>
      </c>
      <c r="I21" s="53" t="s">
        <v>689</v>
      </c>
      <c r="J21" s="22">
        <v>101</v>
      </c>
      <c r="K21" s="54">
        <v>108</v>
      </c>
      <c r="L21" s="22" t="s">
        <v>21</v>
      </c>
      <c r="M21" s="55" t="s">
        <v>35</v>
      </c>
      <c r="N21" s="41"/>
    </row>
    <row r="22" spans="1:14" s="42" customFormat="1" ht="61" customHeight="1" x14ac:dyDescent="0.35">
      <c r="A22" s="22">
        <f t="shared" si="0"/>
        <v>18</v>
      </c>
      <c r="B22" s="34" t="s">
        <v>137</v>
      </c>
      <c r="C22" s="51" t="s">
        <v>136</v>
      </c>
      <c r="D22" s="56" t="s">
        <v>3</v>
      </c>
      <c r="E22" s="56" t="s">
        <v>3</v>
      </c>
      <c r="F22" s="56" t="s">
        <v>7</v>
      </c>
      <c r="G22" s="53">
        <v>-4.5706173170918225</v>
      </c>
      <c r="H22" s="53">
        <v>-73.733715639136179</v>
      </c>
      <c r="I22" s="53" t="s">
        <v>689</v>
      </c>
      <c r="J22" s="57">
        <v>114</v>
      </c>
      <c r="K22" s="53">
        <v>116</v>
      </c>
      <c r="L22" s="22" t="s">
        <v>21</v>
      </c>
      <c r="M22" s="55" t="s">
        <v>35</v>
      </c>
      <c r="N22" s="41"/>
    </row>
    <row r="23" spans="1:14" s="42" customFormat="1" ht="33.5" customHeight="1" x14ac:dyDescent="0.35">
      <c r="A23" s="22">
        <f t="shared" si="0"/>
        <v>19</v>
      </c>
      <c r="B23" s="34" t="s">
        <v>253</v>
      </c>
      <c r="C23" s="22" t="s">
        <v>21</v>
      </c>
      <c r="D23" s="56" t="s">
        <v>3</v>
      </c>
      <c r="E23" s="56" t="s">
        <v>3</v>
      </c>
      <c r="F23" s="56" t="s">
        <v>7</v>
      </c>
      <c r="G23" s="53">
        <v>-4.7423333978906861</v>
      </c>
      <c r="H23" s="53">
        <v>-73.983266704206088</v>
      </c>
      <c r="I23" s="53" t="s">
        <v>689</v>
      </c>
      <c r="J23" s="22">
        <v>116</v>
      </c>
      <c r="K23" s="54" t="s">
        <v>21</v>
      </c>
      <c r="L23" s="22" t="s">
        <v>21</v>
      </c>
      <c r="M23" s="55" t="s">
        <v>160</v>
      </c>
      <c r="N23" s="41"/>
    </row>
    <row r="24" spans="1:14" s="42" customFormat="1" ht="37.5" customHeight="1" x14ac:dyDescent="0.35">
      <c r="A24" s="22">
        <f t="shared" si="0"/>
        <v>20</v>
      </c>
      <c r="B24" s="34" t="s">
        <v>168</v>
      </c>
      <c r="C24" s="51" t="s">
        <v>21</v>
      </c>
      <c r="D24" s="52" t="s">
        <v>3</v>
      </c>
      <c r="E24" s="52" t="s">
        <v>3</v>
      </c>
      <c r="F24" s="52" t="s">
        <v>169</v>
      </c>
      <c r="G24" s="29">
        <v>-4.7213106886765797</v>
      </c>
      <c r="H24" s="29">
        <v>-74.278521468126996</v>
      </c>
      <c r="I24" s="29" t="s">
        <v>689</v>
      </c>
      <c r="J24" s="22">
        <v>126</v>
      </c>
      <c r="K24" s="54" t="s">
        <v>21</v>
      </c>
      <c r="L24" s="22" t="s">
        <v>21</v>
      </c>
      <c r="M24" s="55" t="s">
        <v>710</v>
      </c>
      <c r="N24" s="41"/>
    </row>
    <row r="25" spans="1:14" s="42" customFormat="1" ht="50.5" customHeight="1" x14ac:dyDescent="0.35">
      <c r="A25" s="22">
        <f t="shared" si="0"/>
        <v>21</v>
      </c>
      <c r="B25" s="50" t="s">
        <v>170</v>
      </c>
      <c r="C25" s="43" t="s">
        <v>21</v>
      </c>
      <c r="D25" s="37" t="s">
        <v>3</v>
      </c>
      <c r="E25" s="37" t="s">
        <v>3</v>
      </c>
      <c r="F25" s="37" t="s">
        <v>169</v>
      </c>
      <c r="G25" s="28">
        <v>-4.71318477165494</v>
      </c>
      <c r="H25" s="28">
        <v>-74.311610872051006</v>
      </c>
      <c r="I25" s="28" t="s">
        <v>689</v>
      </c>
      <c r="J25" s="45">
        <v>126</v>
      </c>
      <c r="K25" s="46" t="s">
        <v>21</v>
      </c>
      <c r="L25" s="22" t="s">
        <v>21</v>
      </c>
      <c r="M25" s="47" t="s">
        <v>710</v>
      </c>
      <c r="N25" s="41"/>
    </row>
    <row r="26" spans="1:14" s="42" customFormat="1" ht="39" customHeight="1" x14ac:dyDescent="0.35">
      <c r="A26" s="45">
        <f t="shared" si="0"/>
        <v>22</v>
      </c>
      <c r="B26" s="36" t="s">
        <v>171</v>
      </c>
      <c r="C26" s="43" t="s">
        <v>21</v>
      </c>
      <c r="D26" s="37" t="s">
        <v>3</v>
      </c>
      <c r="E26" s="37" t="s">
        <v>3</v>
      </c>
      <c r="F26" s="37" t="s">
        <v>169</v>
      </c>
      <c r="G26" s="28">
        <v>-4.7261247649836298</v>
      </c>
      <c r="H26" s="28">
        <v>-74.414559225290603</v>
      </c>
      <c r="I26" s="28" t="s">
        <v>689</v>
      </c>
      <c r="J26" s="45">
        <v>111</v>
      </c>
      <c r="K26" s="46" t="s">
        <v>21</v>
      </c>
      <c r="L26" s="22" t="s">
        <v>21</v>
      </c>
      <c r="M26" s="47" t="s">
        <v>160</v>
      </c>
      <c r="N26" s="41"/>
    </row>
    <row r="27" spans="1:14" s="42" customFormat="1" ht="53.5" customHeight="1" x14ac:dyDescent="0.35">
      <c r="A27" s="22">
        <f t="shared" si="0"/>
        <v>23</v>
      </c>
      <c r="B27" s="36" t="s">
        <v>172</v>
      </c>
      <c r="C27" s="43" t="s">
        <v>21</v>
      </c>
      <c r="D27" s="37" t="s">
        <v>3</v>
      </c>
      <c r="E27" s="37" t="s">
        <v>3</v>
      </c>
      <c r="F27" s="37" t="s">
        <v>169</v>
      </c>
      <c r="G27" s="28">
        <v>-5.2113835521227996</v>
      </c>
      <c r="H27" s="28">
        <v>-74.669225391626497</v>
      </c>
      <c r="I27" s="28" t="s">
        <v>689</v>
      </c>
      <c r="J27" s="45">
        <v>115</v>
      </c>
      <c r="K27" s="46" t="s">
        <v>21</v>
      </c>
      <c r="L27" s="22" t="s">
        <v>21</v>
      </c>
      <c r="M27" s="47" t="s">
        <v>646</v>
      </c>
      <c r="N27" s="41"/>
    </row>
    <row r="28" spans="1:14" s="42" customFormat="1" ht="51.5" customHeight="1" x14ac:dyDescent="0.35">
      <c r="A28" s="22">
        <f t="shared" si="0"/>
        <v>24</v>
      </c>
      <c r="B28" s="36" t="s">
        <v>173</v>
      </c>
      <c r="C28" s="43" t="s">
        <v>21</v>
      </c>
      <c r="D28" s="37" t="s">
        <v>3</v>
      </c>
      <c r="E28" s="37" t="s">
        <v>3</v>
      </c>
      <c r="F28" s="37" t="s">
        <v>169</v>
      </c>
      <c r="G28" s="28">
        <v>-5.2357625955142</v>
      </c>
      <c r="H28" s="28">
        <v>-74.822838184317902</v>
      </c>
      <c r="I28" s="28" t="s">
        <v>689</v>
      </c>
      <c r="J28" s="45">
        <v>114</v>
      </c>
      <c r="K28" s="44" t="s">
        <v>21</v>
      </c>
      <c r="L28" s="22" t="s">
        <v>21</v>
      </c>
      <c r="M28" s="47" t="s">
        <v>646</v>
      </c>
      <c r="N28" s="41"/>
    </row>
    <row r="29" spans="1:14" s="42" customFormat="1" ht="40" customHeight="1" x14ac:dyDescent="0.35">
      <c r="A29" s="22">
        <f t="shared" si="0"/>
        <v>25</v>
      </c>
      <c r="B29" s="36" t="s">
        <v>174</v>
      </c>
      <c r="C29" s="43" t="s">
        <v>21</v>
      </c>
      <c r="D29" s="37" t="s">
        <v>3</v>
      </c>
      <c r="E29" s="37" t="s">
        <v>3</v>
      </c>
      <c r="F29" s="37" t="s">
        <v>169</v>
      </c>
      <c r="G29" s="28">
        <v>-5.2059327625298097</v>
      </c>
      <c r="H29" s="28">
        <v>-75.441914431828394</v>
      </c>
      <c r="I29" s="28" t="s">
        <v>689</v>
      </c>
      <c r="J29" s="45">
        <v>126</v>
      </c>
      <c r="K29" s="46" t="s">
        <v>21</v>
      </c>
      <c r="L29" s="22" t="s">
        <v>652</v>
      </c>
      <c r="M29" s="55" t="s">
        <v>720</v>
      </c>
      <c r="N29" s="41"/>
    </row>
    <row r="30" spans="1:14" s="42" customFormat="1" ht="38.5" customHeight="1" x14ac:dyDescent="0.35">
      <c r="A30" s="22">
        <f t="shared" si="0"/>
        <v>26</v>
      </c>
      <c r="B30" s="36" t="s">
        <v>175</v>
      </c>
      <c r="C30" s="43" t="s">
        <v>21</v>
      </c>
      <c r="D30" s="37" t="s">
        <v>3</v>
      </c>
      <c r="E30" s="37" t="s">
        <v>3</v>
      </c>
      <c r="F30" s="37" t="s">
        <v>169</v>
      </c>
      <c r="G30" s="28">
        <v>-5.2374675983808903</v>
      </c>
      <c r="H30" s="28">
        <v>-75.595449480828094</v>
      </c>
      <c r="I30" s="28" t="s">
        <v>689</v>
      </c>
      <c r="J30" s="45">
        <v>121</v>
      </c>
      <c r="K30" s="46" t="s">
        <v>21</v>
      </c>
      <c r="L30" s="22" t="s">
        <v>21</v>
      </c>
      <c r="M30" s="47" t="s">
        <v>720</v>
      </c>
      <c r="N30" s="41"/>
    </row>
    <row r="31" spans="1:14" s="42" customFormat="1" ht="29" x14ac:dyDescent="0.35">
      <c r="A31" s="22">
        <f t="shared" si="0"/>
        <v>27</v>
      </c>
      <c r="B31" s="59" t="s">
        <v>159</v>
      </c>
      <c r="C31" s="43" t="s">
        <v>21</v>
      </c>
      <c r="D31" s="37" t="s">
        <v>3</v>
      </c>
      <c r="E31" s="37" t="s">
        <v>3</v>
      </c>
      <c r="F31" s="37" t="s">
        <v>169</v>
      </c>
      <c r="G31" s="28">
        <v>-4.6532489639954404</v>
      </c>
      <c r="H31" s="28">
        <v>-74.6284962806902</v>
      </c>
      <c r="I31" s="28" t="s">
        <v>689</v>
      </c>
      <c r="J31" s="45">
        <v>115</v>
      </c>
      <c r="K31" s="46" t="s">
        <v>21</v>
      </c>
      <c r="L31" s="22" t="s">
        <v>21</v>
      </c>
      <c r="M31" s="47" t="s">
        <v>720</v>
      </c>
      <c r="N31" s="41"/>
    </row>
    <row r="32" spans="1:14" s="42" customFormat="1" ht="29" x14ac:dyDescent="0.35">
      <c r="A32" s="22">
        <f t="shared" si="0"/>
        <v>28</v>
      </c>
      <c r="B32" s="36" t="s">
        <v>167</v>
      </c>
      <c r="C32" s="43" t="s">
        <v>21</v>
      </c>
      <c r="D32" s="60" t="s">
        <v>3</v>
      </c>
      <c r="E32" s="60" t="s">
        <v>3</v>
      </c>
      <c r="F32" s="60" t="s">
        <v>169</v>
      </c>
      <c r="G32" s="44">
        <v>-4.7345830048212951</v>
      </c>
      <c r="H32" s="44">
        <v>-74.25464987185471</v>
      </c>
      <c r="I32" s="44" t="s">
        <v>689</v>
      </c>
      <c r="J32" s="45">
        <v>115</v>
      </c>
      <c r="K32" s="44" t="s">
        <v>21</v>
      </c>
      <c r="L32" s="22" t="s">
        <v>21</v>
      </c>
      <c r="M32" s="47" t="s">
        <v>711</v>
      </c>
      <c r="N32" s="41"/>
    </row>
    <row r="33" spans="1:14" s="62" customFormat="1" ht="185.5" customHeight="1" x14ac:dyDescent="0.35">
      <c r="A33" s="22">
        <f t="shared" si="0"/>
        <v>29</v>
      </c>
      <c r="B33" s="36" t="s">
        <v>183</v>
      </c>
      <c r="C33" s="45" t="s">
        <v>21</v>
      </c>
      <c r="D33" s="60" t="s">
        <v>3</v>
      </c>
      <c r="E33" s="60" t="s">
        <v>3</v>
      </c>
      <c r="F33" s="60" t="s">
        <v>184</v>
      </c>
      <c r="G33" s="44">
        <v>-2.3953326993663664</v>
      </c>
      <c r="H33" s="44">
        <v>-76.282857227643845</v>
      </c>
      <c r="I33" s="44" t="s">
        <v>689</v>
      </c>
      <c r="J33" s="45">
        <v>240</v>
      </c>
      <c r="K33" s="61">
        <v>218</v>
      </c>
      <c r="L33" s="22" t="s">
        <v>21</v>
      </c>
      <c r="M33" s="47" t="s">
        <v>712</v>
      </c>
      <c r="N33" s="41"/>
    </row>
    <row r="34" spans="1:14" s="42" customFormat="1" ht="43" customHeight="1" x14ac:dyDescent="0.35">
      <c r="A34" s="22">
        <f t="shared" si="0"/>
        <v>30</v>
      </c>
      <c r="B34" s="34" t="s">
        <v>190</v>
      </c>
      <c r="C34" s="22" t="s">
        <v>21</v>
      </c>
      <c r="D34" s="56" t="s">
        <v>3</v>
      </c>
      <c r="E34" s="56" t="s">
        <v>3</v>
      </c>
      <c r="F34" s="56" t="s">
        <v>184</v>
      </c>
      <c r="G34" s="29">
        <v>-2.4601411628508898</v>
      </c>
      <c r="H34" s="29">
        <v>-76.136594187634401</v>
      </c>
      <c r="I34" s="29" t="s">
        <v>689</v>
      </c>
      <c r="J34" s="22">
        <v>235</v>
      </c>
      <c r="K34" s="54" t="s">
        <v>21</v>
      </c>
      <c r="L34" s="22" t="s">
        <v>21</v>
      </c>
      <c r="M34" s="55" t="s">
        <v>186</v>
      </c>
      <c r="N34" s="41"/>
    </row>
    <row r="35" spans="1:14" s="42" customFormat="1" ht="136" customHeight="1" x14ac:dyDescent="0.35">
      <c r="A35" s="34">
        <f t="shared" si="0"/>
        <v>31</v>
      </c>
      <c r="B35" s="35" t="s">
        <v>225</v>
      </c>
      <c r="C35" s="36" t="s">
        <v>224</v>
      </c>
      <c r="D35" s="37" t="s">
        <v>3</v>
      </c>
      <c r="E35" s="37" t="s">
        <v>3</v>
      </c>
      <c r="F35" s="37" t="s">
        <v>184</v>
      </c>
      <c r="G35" s="30">
        <v>-4.1154442126574198</v>
      </c>
      <c r="H35" s="28">
        <v>-74.413470620243899</v>
      </c>
      <c r="I35" s="28" t="s">
        <v>688</v>
      </c>
      <c r="J35" s="38">
        <v>101</v>
      </c>
      <c r="K35" s="39">
        <v>101</v>
      </c>
      <c r="L35" s="22" t="s">
        <v>21</v>
      </c>
      <c r="M35" s="47" t="s">
        <v>722</v>
      </c>
      <c r="N35" s="41"/>
    </row>
    <row r="36" spans="1:14" s="42" customFormat="1" ht="168" customHeight="1" x14ac:dyDescent="0.35">
      <c r="A36" s="22">
        <f t="shared" si="0"/>
        <v>32</v>
      </c>
      <c r="B36" s="36" t="s">
        <v>227</v>
      </c>
      <c r="C36" s="43" t="s">
        <v>226</v>
      </c>
      <c r="D36" s="37" t="s">
        <v>3</v>
      </c>
      <c r="E36" s="37" t="s">
        <v>3</v>
      </c>
      <c r="F36" s="37" t="s">
        <v>184</v>
      </c>
      <c r="G36" s="44">
        <v>-3.5020732581922296</v>
      </c>
      <c r="H36" s="44">
        <v>-74.745122218135094</v>
      </c>
      <c r="I36" s="44" t="s">
        <v>689</v>
      </c>
      <c r="J36" s="45">
        <v>120</v>
      </c>
      <c r="K36" s="46">
        <v>107</v>
      </c>
      <c r="L36" s="22" t="s">
        <v>21</v>
      </c>
      <c r="M36" s="47" t="s">
        <v>723</v>
      </c>
      <c r="N36" s="41"/>
    </row>
    <row r="37" spans="1:14" s="42" customFormat="1" ht="38" customHeight="1" x14ac:dyDescent="0.35">
      <c r="A37" s="22">
        <f t="shared" si="0"/>
        <v>33</v>
      </c>
      <c r="B37" s="36" t="s">
        <v>228</v>
      </c>
      <c r="C37" s="43" t="s">
        <v>21</v>
      </c>
      <c r="D37" s="37" t="s">
        <v>3</v>
      </c>
      <c r="E37" s="37" t="s">
        <v>3</v>
      </c>
      <c r="F37" s="37" t="s">
        <v>184</v>
      </c>
      <c r="G37" s="44">
        <v>-3.5165171482720825</v>
      </c>
      <c r="H37" s="44">
        <v>-74.851990202685741</v>
      </c>
      <c r="I37" s="44" t="s">
        <v>689</v>
      </c>
      <c r="J37" s="45">
        <v>126</v>
      </c>
      <c r="K37" s="44" t="s">
        <v>21</v>
      </c>
      <c r="L37" s="22" t="s">
        <v>21</v>
      </c>
      <c r="M37" s="47" t="s">
        <v>737</v>
      </c>
      <c r="N37" s="41"/>
    </row>
    <row r="38" spans="1:14" s="42" customFormat="1" ht="42.5" customHeight="1" x14ac:dyDescent="0.35">
      <c r="A38" s="22">
        <f t="shared" si="0"/>
        <v>34</v>
      </c>
      <c r="B38" s="36" t="s">
        <v>229</v>
      </c>
      <c r="C38" s="45" t="s">
        <v>21</v>
      </c>
      <c r="D38" s="60" t="s">
        <v>3</v>
      </c>
      <c r="E38" s="60" t="s">
        <v>3</v>
      </c>
      <c r="F38" s="60" t="s">
        <v>184</v>
      </c>
      <c r="G38" s="44">
        <v>-3.5568148180576644</v>
      </c>
      <c r="H38" s="44">
        <v>-74.978084324220049</v>
      </c>
      <c r="I38" s="44" t="s">
        <v>689</v>
      </c>
      <c r="J38" s="45">
        <v>140</v>
      </c>
      <c r="K38" s="46" t="s">
        <v>21</v>
      </c>
      <c r="L38" s="22" t="s">
        <v>21</v>
      </c>
      <c r="M38" s="47" t="s">
        <v>738</v>
      </c>
      <c r="N38" s="41"/>
    </row>
    <row r="39" spans="1:14" s="42" customFormat="1" ht="43" customHeight="1" x14ac:dyDescent="0.35">
      <c r="A39" s="22">
        <f t="shared" si="0"/>
        <v>35</v>
      </c>
      <c r="B39" s="36" t="s">
        <v>231</v>
      </c>
      <c r="C39" s="43" t="s">
        <v>230</v>
      </c>
      <c r="D39" s="60" t="s">
        <v>3</v>
      </c>
      <c r="E39" s="60" t="s">
        <v>3</v>
      </c>
      <c r="F39" s="60" t="s">
        <v>184</v>
      </c>
      <c r="G39" s="28">
        <v>-3.34145102917735</v>
      </c>
      <c r="H39" s="28">
        <v>-75.033082162463899</v>
      </c>
      <c r="I39" s="28" t="s">
        <v>689</v>
      </c>
      <c r="J39" s="45">
        <v>132</v>
      </c>
      <c r="K39" s="44" t="s">
        <v>21</v>
      </c>
      <c r="L39" s="22" t="s">
        <v>21</v>
      </c>
      <c r="M39" s="47" t="s">
        <v>739</v>
      </c>
      <c r="N39" s="41"/>
    </row>
    <row r="40" spans="1:14" s="42" customFormat="1" ht="70.5" customHeight="1" x14ac:dyDescent="0.35">
      <c r="A40" s="22">
        <f t="shared" si="0"/>
        <v>36</v>
      </c>
      <c r="B40" s="36" t="s">
        <v>233</v>
      </c>
      <c r="C40" s="43" t="s">
        <v>232</v>
      </c>
      <c r="D40" s="60" t="s">
        <v>3</v>
      </c>
      <c r="E40" s="60" t="s">
        <v>3</v>
      </c>
      <c r="F40" s="60" t="s">
        <v>184</v>
      </c>
      <c r="G40" s="28">
        <v>-2.8208605233910902</v>
      </c>
      <c r="H40" s="28">
        <v>-75.425149608267603</v>
      </c>
      <c r="I40" s="28" t="s">
        <v>689</v>
      </c>
      <c r="J40" s="45">
        <v>155</v>
      </c>
      <c r="K40" s="44" t="s">
        <v>21</v>
      </c>
      <c r="L40" s="22" t="s">
        <v>21</v>
      </c>
      <c r="M40" s="47" t="s">
        <v>740</v>
      </c>
      <c r="N40" s="41"/>
    </row>
    <row r="41" spans="1:14" s="42" customFormat="1" ht="37.5" customHeight="1" x14ac:dyDescent="0.35">
      <c r="A41" s="22">
        <f t="shared" si="0"/>
        <v>37</v>
      </c>
      <c r="B41" s="36" t="s">
        <v>107</v>
      </c>
      <c r="C41" s="43" t="s">
        <v>234</v>
      </c>
      <c r="D41" s="60" t="s">
        <v>3</v>
      </c>
      <c r="E41" s="60" t="s">
        <v>3</v>
      </c>
      <c r="F41" s="60" t="s">
        <v>184</v>
      </c>
      <c r="G41" s="28">
        <v>-4.0268555058630104</v>
      </c>
      <c r="H41" s="28">
        <v>-74.368565139963493</v>
      </c>
      <c r="I41" s="28" t="s">
        <v>689</v>
      </c>
      <c r="J41" s="45">
        <v>104</v>
      </c>
      <c r="K41" s="44" t="s">
        <v>21</v>
      </c>
      <c r="L41" s="22" t="s">
        <v>21</v>
      </c>
      <c r="M41" s="47" t="s">
        <v>739</v>
      </c>
      <c r="N41" s="41"/>
    </row>
    <row r="42" spans="1:14" s="42" customFormat="1" ht="39" customHeight="1" x14ac:dyDescent="0.35">
      <c r="A42" s="22">
        <f t="shared" si="0"/>
        <v>38</v>
      </c>
      <c r="B42" s="36" t="s">
        <v>236</v>
      </c>
      <c r="C42" s="43" t="s">
        <v>235</v>
      </c>
      <c r="D42" s="60" t="s">
        <v>3</v>
      </c>
      <c r="E42" s="60" t="s">
        <v>3</v>
      </c>
      <c r="F42" s="60" t="s">
        <v>184</v>
      </c>
      <c r="G42" s="28">
        <v>-3.94564561961315</v>
      </c>
      <c r="H42" s="28">
        <v>-74.310520619282201</v>
      </c>
      <c r="I42" s="28" t="s">
        <v>689</v>
      </c>
      <c r="J42" s="48">
        <v>107</v>
      </c>
      <c r="K42" s="44" t="s">
        <v>21</v>
      </c>
      <c r="L42" s="22" t="s">
        <v>21</v>
      </c>
      <c r="M42" s="47" t="s">
        <v>739</v>
      </c>
      <c r="N42" s="41"/>
    </row>
    <row r="43" spans="1:14" s="42" customFormat="1" ht="40" customHeight="1" x14ac:dyDescent="0.35">
      <c r="A43" s="22">
        <f t="shared" si="0"/>
        <v>39</v>
      </c>
      <c r="B43" s="36" t="s">
        <v>238</v>
      </c>
      <c r="C43" s="43" t="s">
        <v>237</v>
      </c>
      <c r="D43" s="60" t="s">
        <v>3</v>
      </c>
      <c r="E43" s="60" t="s">
        <v>3</v>
      </c>
      <c r="F43" s="60" t="s">
        <v>184</v>
      </c>
      <c r="G43" s="28">
        <v>-3.6828008061895998</v>
      </c>
      <c r="H43" s="28">
        <v>-74.575209661287104</v>
      </c>
      <c r="I43" s="28" t="s">
        <v>689</v>
      </c>
      <c r="J43" s="48">
        <v>122</v>
      </c>
      <c r="K43" s="44" t="s">
        <v>21</v>
      </c>
      <c r="L43" s="22" t="s">
        <v>21</v>
      </c>
      <c r="M43" s="47" t="s">
        <v>739</v>
      </c>
      <c r="N43" s="41"/>
    </row>
    <row r="44" spans="1:14" s="42" customFormat="1" ht="127.5" customHeight="1" x14ac:dyDescent="0.35">
      <c r="A44" s="22">
        <f t="shared" si="0"/>
        <v>40</v>
      </c>
      <c r="B44" s="36" t="s">
        <v>218</v>
      </c>
      <c r="C44" s="49" t="s">
        <v>655</v>
      </c>
      <c r="D44" s="60" t="s">
        <v>3</v>
      </c>
      <c r="E44" s="60" t="s">
        <v>3</v>
      </c>
      <c r="F44" s="60" t="s">
        <v>184</v>
      </c>
      <c r="G44" s="30">
        <v>-3.5130221785662998</v>
      </c>
      <c r="H44" s="30">
        <v>-74.692548139662406</v>
      </c>
      <c r="I44" s="30" t="s">
        <v>688</v>
      </c>
      <c r="J44" s="45">
        <v>114</v>
      </c>
      <c r="K44" s="61">
        <v>114</v>
      </c>
      <c r="L44" s="22" t="s">
        <v>21</v>
      </c>
      <c r="M44" s="47" t="s">
        <v>741</v>
      </c>
      <c r="N44" s="41"/>
    </row>
    <row r="45" spans="1:14" s="42" customFormat="1" ht="35.5" customHeight="1" x14ac:dyDescent="0.35">
      <c r="A45" s="22">
        <f t="shared" si="0"/>
        <v>41</v>
      </c>
      <c r="B45" s="50" t="s">
        <v>240</v>
      </c>
      <c r="C45" s="43" t="s">
        <v>239</v>
      </c>
      <c r="D45" s="60" t="s">
        <v>3</v>
      </c>
      <c r="E45" s="60" t="s">
        <v>3</v>
      </c>
      <c r="F45" s="60" t="s">
        <v>184</v>
      </c>
      <c r="G45" s="28">
        <v>-3.4887739418439798</v>
      </c>
      <c r="H45" s="28">
        <v>-74.7792931187291</v>
      </c>
      <c r="I45" s="28" t="s">
        <v>689</v>
      </c>
      <c r="J45" s="48">
        <v>131</v>
      </c>
      <c r="K45" s="44" t="s">
        <v>21</v>
      </c>
      <c r="L45" s="22" t="s">
        <v>21</v>
      </c>
      <c r="M45" s="47" t="s">
        <v>739</v>
      </c>
      <c r="N45" s="41"/>
    </row>
    <row r="46" spans="1:14" s="42" customFormat="1" ht="127.5" customHeight="1" x14ac:dyDescent="0.35">
      <c r="A46" s="45">
        <f t="shared" si="0"/>
        <v>42</v>
      </c>
      <c r="B46" s="34" t="s">
        <v>105</v>
      </c>
      <c r="C46" s="63" t="s">
        <v>659</v>
      </c>
      <c r="D46" s="56" t="s">
        <v>3</v>
      </c>
      <c r="E46" s="56" t="s">
        <v>3</v>
      </c>
      <c r="F46" s="56" t="s">
        <v>184</v>
      </c>
      <c r="G46" s="29">
        <v>-3.48673173655679</v>
      </c>
      <c r="H46" s="29">
        <v>-74.789719345255605</v>
      </c>
      <c r="I46" s="29" t="s">
        <v>688</v>
      </c>
      <c r="J46" s="22">
        <v>120</v>
      </c>
      <c r="K46" s="64">
        <v>113</v>
      </c>
      <c r="L46" s="22" t="s">
        <v>21</v>
      </c>
      <c r="M46" s="55" t="s">
        <v>742</v>
      </c>
      <c r="N46" s="41"/>
    </row>
    <row r="47" spans="1:14" s="42" customFormat="1" ht="50" customHeight="1" x14ac:dyDescent="0.35">
      <c r="A47" s="22">
        <f t="shared" si="0"/>
        <v>43</v>
      </c>
      <c r="B47" s="36" t="s">
        <v>242</v>
      </c>
      <c r="C47" s="43" t="s">
        <v>241</v>
      </c>
      <c r="D47" s="60" t="s">
        <v>3</v>
      </c>
      <c r="E47" s="60" t="s">
        <v>3</v>
      </c>
      <c r="F47" s="60" t="s">
        <v>184</v>
      </c>
      <c r="G47" s="28">
        <v>-3.4891382263416699</v>
      </c>
      <c r="H47" s="28">
        <v>-74.789763826842005</v>
      </c>
      <c r="I47" s="28" t="s">
        <v>689</v>
      </c>
      <c r="J47" s="45">
        <v>118</v>
      </c>
      <c r="K47" s="44" t="s">
        <v>21</v>
      </c>
      <c r="L47" s="22" t="s">
        <v>21</v>
      </c>
      <c r="M47" s="47" t="s">
        <v>739</v>
      </c>
      <c r="N47" s="41"/>
    </row>
    <row r="48" spans="1:14" s="42" customFormat="1" ht="108" customHeight="1" x14ac:dyDescent="0.35">
      <c r="A48" s="22">
        <f t="shared" si="0"/>
        <v>44</v>
      </c>
      <c r="B48" s="36" t="s">
        <v>244</v>
      </c>
      <c r="C48" s="43" t="s">
        <v>243</v>
      </c>
      <c r="D48" s="60" t="s">
        <v>3</v>
      </c>
      <c r="E48" s="60" t="s">
        <v>3</v>
      </c>
      <c r="F48" s="60" t="s">
        <v>184</v>
      </c>
      <c r="G48" s="30">
        <v>-2.3847491578442699</v>
      </c>
      <c r="H48" s="28">
        <v>-75.803064221800994</v>
      </c>
      <c r="I48" s="28" t="s">
        <v>688</v>
      </c>
      <c r="J48" s="45">
        <v>169</v>
      </c>
      <c r="K48" s="61">
        <v>155</v>
      </c>
      <c r="L48" s="22" t="s">
        <v>21</v>
      </c>
      <c r="M48" s="47" t="s">
        <v>724</v>
      </c>
      <c r="N48" s="41"/>
    </row>
    <row r="49" spans="1:14" s="42" customFormat="1" ht="95.5" customHeight="1" x14ac:dyDescent="0.35">
      <c r="A49" s="22">
        <f t="shared" si="0"/>
        <v>45</v>
      </c>
      <c r="B49" s="36" t="s">
        <v>246</v>
      </c>
      <c r="C49" s="43" t="s">
        <v>245</v>
      </c>
      <c r="D49" s="60" t="s">
        <v>3</v>
      </c>
      <c r="E49" s="60" t="s">
        <v>3</v>
      </c>
      <c r="F49" s="60" t="s">
        <v>184</v>
      </c>
      <c r="G49" s="30">
        <v>-2.4295860951297001</v>
      </c>
      <c r="H49" s="30">
        <v>-75.796911656561505</v>
      </c>
      <c r="I49" s="30" t="s">
        <v>688</v>
      </c>
      <c r="J49" s="45">
        <v>158</v>
      </c>
      <c r="K49" s="61">
        <v>156</v>
      </c>
      <c r="L49" s="22" t="s">
        <v>21</v>
      </c>
      <c r="M49" s="47" t="s">
        <v>724</v>
      </c>
      <c r="N49" s="41"/>
    </row>
    <row r="50" spans="1:14" s="42" customFormat="1" ht="104.5" customHeight="1" x14ac:dyDescent="0.35">
      <c r="A50" s="22">
        <f t="shared" si="0"/>
        <v>46</v>
      </c>
      <c r="B50" s="36" t="s">
        <v>248</v>
      </c>
      <c r="C50" s="43" t="s">
        <v>247</v>
      </c>
      <c r="D50" s="60" t="s">
        <v>3</v>
      </c>
      <c r="E50" s="60" t="s">
        <v>3</v>
      </c>
      <c r="F50" s="60" t="s">
        <v>184</v>
      </c>
      <c r="G50" s="30">
        <v>-3.4745476367130301</v>
      </c>
      <c r="H50" s="30">
        <v>-74.799328385231206</v>
      </c>
      <c r="I50" s="30" t="s">
        <v>688</v>
      </c>
      <c r="J50" s="45">
        <v>119</v>
      </c>
      <c r="K50" s="61">
        <v>121</v>
      </c>
      <c r="L50" s="22" t="s">
        <v>651</v>
      </c>
      <c r="M50" s="55" t="s">
        <v>724</v>
      </c>
      <c r="N50" s="41"/>
    </row>
    <row r="51" spans="1:14" s="62" customFormat="1" ht="104.5" customHeight="1" x14ac:dyDescent="0.35">
      <c r="A51" s="22">
        <f t="shared" si="0"/>
        <v>47</v>
      </c>
      <c r="B51" s="36" t="s">
        <v>250</v>
      </c>
      <c r="C51" s="43" t="s">
        <v>249</v>
      </c>
      <c r="D51" s="60" t="s">
        <v>3</v>
      </c>
      <c r="E51" s="60" t="s">
        <v>3</v>
      </c>
      <c r="F51" s="60" t="s">
        <v>184</v>
      </c>
      <c r="G51" s="30">
        <v>-4.1329754974369104</v>
      </c>
      <c r="H51" s="30">
        <v>-74.425008022565095</v>
      </c>
      <c r="I51" s="30" t="s">
        <v>688</v>
      </c>
      <c r="J51" s="45">
        <v>114</v>
      </c>
      <c r="K51" s="61">
        <v>97</v>
      </c>
      <c r="L51" s="22" t="s">
        <v>21</v>
      </c>
      <c r="M51" s="47" t="s">
        <v>724</v>
      </c>
      <c r="N51" s="41"/>
    </row>
    <row r="52" spans="1:14" s="62" customFormat="1" ht="42.5" customHeight="1" x14ac:dyDescent="0.35">
      <c r="A52" s="22">
        <f t="shared" si="0"/>
        <v>48</v>
      </c>
      <c r="B52" s="36" t="s">
        <v>251</v>
      </c>
      <c r="C52" s="45" t="s">
        <v>21</v>
      </c>
      <c r="D52" s="60" t="s">
        <v>3</v>
      </c>
      <c r="E52" s="60" t="s">
        <v>3</v>
      </c>
      <c r="F52" s="60" t="s">
        <v>184</v>
      </c>
      <c r="G52" s="44">
        <v>-3.6806645901373964</v>
      </c>
      <c r="H52" s="44">
        <v>-74.735257117386325</v>
      </c>
      <c r="I52" s="44" t="s">
        <v>689</v>
      </c>
      <c r="J52" s="45">
        <v>122</v>
      </c>
      <c r="K52" s="46" t="s">
        <v>21</v>
      </c>
      <c r="L52" s="22" t="s">
        <v>652</v>
      </c>
      <c r="M52" s="55" t="s">
        <v>697</v>
      </c>
      <c r="N52" s="41"/>
    </row>
    <row r="53" spans="1:14" s="62" customFormat="1" ht="45.5" customHeight="1" x14ac:dyDescent="0.35">
      <c r="A53" s="22">
        <f t="shared" si="0"/>
        <v>49</v>
      </c>
      <c r="B53" s="36" t="s">
        <v>252</v>
      </c>
      <c r="C53" s="45" t="s">
        <v>21</v>
      </c>
      <c r="D53" s="60" t="s">
        <v>3</v>
      </c>
      <c r="E53" s="60" t="s">
        <v>3</v>
      </c>
      <c r="F53" s="60" t="s">
        <v>184</v>
      </c>
      <c r="G53" s="44">
        <v>-3.6854182641220845</v>
      </c>
      <c r="H53" s="44">
        <v>-74.71910948960867</v>
      </c>
      <c r="I53" s="44" t="s">
        <v>689</v>
      </c>
      <c r="J53" s="45">
        <v>123</v>
      </c>
      <c r="K53" s="46" t="s">
        <v>21</v>
      </c>
      <c r="L53" s="22" t="s">
        <v>651</v>
      </c>
      <c r="M53" s="47" t="s">
        <v>697</v>
      </c>
      <c r="N53" s="41"/>
    </row>
    <row r="54" spans="1:14" s="62" customFormat="1" ht="108" customHeight="1" x14ac:dyDescent="0.35">
      <c r="A54" s="22">
        <f t="shared" si="0"/>
        <v>50</v>
      </c>
      <c r="B54" s="50" t="s">
        <v>178</v>
      </c>
      <c r="C54" s="65" t="s">
        <v>644</v>
      </c>
      <c r="D54" s="60" t="s">
        <v>3</v>
      </c>
      <c r="E54" s="60" t="s">
        <v>3</v>
      </c>
      <c r="F54" s="60" t="s">
        <v>179</v>
      </c>
      <c r="G54" s="30">
        <v>-3.1283029247687599</v>
      </c>
      <c r="H54" s="30">
        <v>-75.674647612493899</v>
      </c>
      <c r="I54" s="30" t="s">
        <v>688</v>
      </c>
      <c r="J54" s="45">
        <v>160</v>
      </c>
      <c r="K54" s="46">
        <v>165</v>
      </c>
      <c r="L54" s="22" t="s">
        <v>21</v>
      </c>
      <c r="M54" s="47" t="s">
        <v>690</v>
      </c>
      <c r="N54" s="41"/>
    </row>
    <row r="55" spans="1:14" s="42" customFormat="1" ht="43" customHeight="1" x14ac:dyDescent="0.35">
      <c r="A55" s="45">
        <f t="shared" si="0"/>
        <v>51</v>
      </c>
      <c r="B55" s="36" t="s">
        <v>181</v>
      </c>
      <c r="C55" s="45" t="s">
        <v>180</v>
      </c>
      <c r="D55" s="60" t="s">
        <v>3</v>
      </c>
      <c r="E55" s="60" t="s">
        <v>3</v>
      </c>
      <c r="F55" s="60" t="s">
        <v>179</v>
      </c>
      <c r="G55" s="28">
        <v>-3.1214810065744301</v>
      </c>
      <c r="H55" s="28">
        <v>-75.676074158560894</v>
      </c>
      <c r="I55" s="28" t="s">
        <v>689</v>
      </c>
      <c r="J55" s="45">
        <v>162</v>
      </c>
      <c r="K55" s="46" t="s">
        <v>21</v>
      </c>
      <c r="L55" s="22" t="s">
        <v>21</v>
      </c>
      <c r="M55" s="47" t="s">
        <v>691</v>
      </c>
      <c r="N55" s="41"/>
    </row>
    <row r="56" spans="1:14" s="42" customFormat="1" ht="187.5" customHeight="1" x14ac:dyDescent="0.35">
      <c r="A56" s="22">
        <f t="shared" si="0"/>
        <v>52</v>
      </c>
      <c r="B56" s="36" t="s">
        <v>182</v>
      </c>
      <c r="C56" s="45" t="s">
        <v>21</v>
      </c>
      <c r="D56" s="60" t="s">
        <v>3</v>
      </c>
      <c r="E56" s="60" t="s">
        <v>3</v>
      </c>
      <c r="F56" s="60" t="s">
        <v>179</v>
      </c>
      <c r="G56" s="44">
        <v>-2.4130789297887789</v>
      </c>
      <c r="H56" s="44">
        <v>-76.282873777489513</v>
      </c>
      <c r="I56" s="44" t="s">
        <v>689</v>
      </c>
      <c r="J56" s="48">
        <v>244</v>
      </c>
      <c r="K56" s="61">
        <v>228</v>
      </c>
      <c r="L56" s="22" t="s">
        <v>21</v>
      </c>
      <c r="M56" s="47" t="s">
        <v>743</v>
      </c>
      <c r="N56" s="41"/>
    </row>
    <row r="57" spans="1:14" s="42" customFormat="1" ht="51.5" customHeight="1" x14ac:dyDescent="0.35">
      <c r="A57" s="22">
        <f t="shared" si="0"/>
        <v>53</v>
      </c>
      <c r="B57" s="34" t="s">
        <v>185</v>
      </c>
      <c r="C57" s="22" t="s">
        <v>21</v>
      </c>
      <c r="D57" s="56" t="s">
        <v>3</v>
      </c>
      <c r="E57" s="56" t="s">
        <v>3</v>
      </c>
      <c r="F57" s="56" t="s">
        <v>179</v>
      </c>
      <c r="G57" s="29">
        <v>-2.4845518118980801</v>
      </c>
      <c r="H57" s="29">
        <v>-76.160465281988905</v>
      </c>
      <c r="I57" s="29" t="s">
        <v>689</v>
      </c>
      <c r="J57" s="22">
        <v>234</v>
      </c>
      <c r="K57" s="54" t="s">
        <v>21</v>
      </c>
      <c r="L57" s="22" t="s">
        <v>21</v>
      </c>
      <c r="M57" s="55" t="s">
        <v>186</v>
      </c>
      <c r="N57" s="41"/>
    </row>
    <row r="58" spans="1:14" s="62" customFormat="1" ht="50.5" customHeight="1" x14ac:dyDescent="0.35">
      <c r="A58" s="22">
        <f t="shared" si="0"/>
        <v>54</v>
      </c>
      <c r="B58" s="36" t="s">
        <v>187</v>
      </c>
      <c r="C58" s="45" t="s">
        <v>21</v>
      </c>
      <c r="D58" s="60" t="s">
        <v>3</v>
      </c>
      <c r="E58" s="60" t="s">
        <v>3</v>
      </c>
      <c r="F58" s="60" t="s">
        <v>179</v>
      </c>
      <c r="G58" s="28">
        <v>-2.4759735292050502</v>
      </c>
      <c r="H58" s="28">
        <v>-76.174469236290903</v>
      </c>
      <c r="I58" s="28" t="s">
        <v>689</v>
      </c>
      <c r="J58" s="45">
        <v>258</v>
      </c>
      <c r="K58" s="46" t="s">
        <v>21</v>
      </c>
      <c r="L58" s="22" t="s">
        <v>21</v>
      </c>
      <c r="M58" s="47" t="s">
        <v>186</v>
      </c>
      <c r="N58" s="41"/>
    </row>
    <row r="59" spans="1:14" s="42" customFormat="1" ht="51" customHeight="1" x14ac:dyDescent="0.35">
      <c r="A59" s="22">
        <f t="shared" si="0"/>
        <v>55</v>
      </c>
      <c r="B59" s="36" t="s">
        <v>188</v>
      </c>
      <c r="C59" s="45" t="s">
        <v>21</v>
      </c>
      <c r="D59" s="60" t="s">
        <v>3</v>
      </c>
      <c r="E59" s="60" t="s">
        <v>3</v>
      </c>
      <c r="F59" s="60" t="s">
        <v>179</v>
      </c>
      <c r="G59" s="28">
        <v>-2.4628345345635698</v>
      </c>
      <c r="H59" s="28">
        <v>-76.220394095765499</v>
      </c>
      <c r="I59" s="28" t="s">
        <v>689</v>
      </c>
      <c r="J59" s="45">
        <v>251</v>
      </c>
      <c r="K59" s="46" t="s">
        <v>21</v>
      </c>
      <c r="L59" s="22" t="s">
        <v>21</v>
      </c>
      <c r="M59" s="47" t="s">
        <v>186</v>
      </c>
      <c r="N59" s="41"/>
    </row>
    <row r="60" spans="1:14" s="42" customFormat="1" ht="53.25" customHeight="1" x14ac:dyDescent="0.35">
      <c r="A60" s="22">
        <f t="shared" si="0"/>
        <v>56</v>
      </c>
      <c r="B60" s="36" t="s">
        <v>189</v>
      </c>
      <c r="C60" s="45" t="s">
        <v>21</v>
      </c>
      <c r="D60" s="60" t="s">
        <v>3</v>
      </c>
      <c r="E60" s="60" t="s">
        <v>3</v>
      </c>
      <c r="F60" s="60" t="s">
        <v>179</v>
      </c>
      <c r="G60" s="28">
        <v>-2.4474379910235098</v>
      </c>
      <c r="H60" s="28">
        <v>-76.241944896518007</v>
      </c>
      <c r="I60" s="28" t="s">
        <v>689</v>
      </c>
      <c r="J60" s="45">
        <v>247</v>
      </c>
      <c r="K60" s="46" t="s">
        <v>21</v>
      </c>
      <c r="L60" s="22" t="s">
        <v>21</v>
      </c>
      <c r="M60" s="47" t="s">
        <v>186</v>
      </c>
      <c r="N60" s="41"/>
    </row>
    <row r="61" spans="1:14" s="42" customFormat="1" ht="43" customHeight="1" x14ac:dyDescent="0.35">
      <c r="A61" s="22">
        <f t="shared" si="0"/>
        <v>57</v>
      </c>
      <c r="B61" s="36" t="s">
        <v>191</v>
      </c>
      <c r="C61" s="45" t="s">
        <v>21</v>
      </c>
      <c r="D61" s="60" t="s">
        <v>3</v>
      </c>
      <c r="E61" s="60" t="s">
        <v>3</v>
      </c>
      <c r="F61" s="60" t="s">
        <v>179</v>
      </c>
      <c r="G61" s="28">
        <v>-2.52287652537367</v>
      </c>
      <c r="H61" s="30">
        <v>-76.160615917844595</v>
      </c>
      <c r="I61" s="30" t="s">
        <v>689</v>
      </c>
      <c r="J61" s="45">
        <v>268</v>
      </c>
      <c r="K61" s="46" t="s">
        <v>21</v>
      </c>
      <c r="L61" s="22" t="s">
        <v>21</v>
      </c>
      <c r="M61" s="47" t="s">
        <v>186</v>
      </c>
      <c r="N61" s="41"/>
    </row>
    <row r="62" spans="1:14" s="42" customFormat="1" ht="41.5" customHeight="1" x14ac:dyDescent="0.35">
      <c r="A62" s="22">
        <f t="shared" si="0"/>
        <v>58</v>
      </c>
      <c r="B62" s="36" t="s">
        <v>192</v>
      </c>
      <c r="C62" s="45" t="s">
        <v>21</v>
      </c>
      <c r="D62" s="60" t="s">
        <v>3</v>
      </c>
      <c r="E62" s="60" t="s">
        <v>3</v>
      </c>
      <c r="F62" s="60" t="s">
        <v>179</v>
      </c>
      <c r="G62" s="44">
        <v>-3.7258305727207417</v>
      </c>
      <c r="H62" s="44">
        <v>-75.307469588025512</v>
      </c>
      <c r="I62" s="44" t="s">
        <v>689</v>
      </c>
      <c r="J62" s="45">
        <v>130</v>
      </c>
      <c r="K62" s="46" t="s">
        <v>21</v>
      </c>
      <c r="L62" s="22" t="s">
        <v>21</v>
      </c>
      <c r="M62" s="47" t="s">
        <v>697</v>
      </c>
      <c r="N62" s="41"/>
    </row>
    <row r="63" spans="1:14" s="42" customFormat="1" ht="44" customHeight="1" x14ac:dyDescent="0.35">
      <c r="A63" s="22">
        <f t="shared" si="0"/>
        <v>59</v>
      </c>
      <c r="B63" s="36" t="s">
        <v>193</v>
      </c>
      <c r="C63" s="45" t="s">
        <v>21</v>
      </c>
      <c r="D63" s="60" t="s">
        <v>3</v>
      </c>
      <c r="E63" s="60" t="s">
        <v>3</v>
      </c>
      <c r="F63" s="60" t="s">
        <v>179</v>
      </c>
      <c r="G63" s="61">
        <v>-3.7132454202004799</v>
      </c>
      <c r="H63" s="61">
        <v>-75.335147781696506</v>
      </c>
      <c r="I63" s="61" t="s">
        <v>689</v>
      </c>
      <c r="J63" s="45">
        <v>141</v>
      </c>
      <c r="K63" s="46" t="s">
        <v>21</v>
      </c>
      <c r="L63" s="22" t="s">
        <v>21</v>
      </c>
      <c r="M63" s="47" t="s">
        <v>692</v>
      </c>
      <c r="N63" s="41"/>
    </row>
    <row r="64" spans="1:14" s="42" customFormat="1" ht="60" customHeight="1" x14ac:dyDescent="0.35">
      <c r="A64" s="22">
        <f t="shared" si="0"/>
        <v>60</v>
      </c>
      <c r="B64" s="36" t="s">
        <v>195</v>
      </c>
      <c r="C64" s="43" t="s">
        <v>194</v>
      </c>
      <c r="D64" s="37" t="s">
        <v>3</v>
      </c>
      <c r="E64" s="37" t="s">
        <v>3</v>
      </c>
      <c r="F64" s="37" t="s">
        <v>179</v>
      </c>
      <c r="G64" s="30">
        <v>-3.72371735465354</v>
      </c>
      <c r="H64" s="30">
        <v>-75.428114819027101</v>
      </c>
      <c r="I64" s="30" t="s">
        <v>688</v>
      </c>
      <c r="J64" s="45">
        <v>154</v>
      </c>
      <c r="K64" s="46" t="s">
        <v>21</v>
      </c>
      <c r="L64" s="22" t="s">
        <v>21</v>
      </c>
      <c r="M64" s="66" t="s">
        <v>196</v>
      </c>
      <c r="N64" s="41"/>
    </row>
    <row r="65" spans="1:14" s="42" customFormat="1" ht="54" customHeight="1" x14ac:dyDescent="0.35">
      <c r="A65" s="22">
        <f t="shared" si="0"/>
        <v>61</v>
      </c>
      <c r="B65" s="36" t="s">
        <v>198</v>
      </c>
      <c r="C65" s="43" t="s">
        <v>197</v>
      </c>
      <c r="D65" s="37" t="s">
        <v>3</v>
      </c>
      <c r="E65" s="37" t="s">
        <v>3</v>
      </c>
      <c r="F65" s="37" t="s">
        <v>179</v>
      </c>
      <c r="G65" s="30">
        <v>-3.7550447137877798</v>
      </c>
      <c r="H65" s="30">
        <v>-75.371799153371995</v>
      </c>
      <c r="I65" s="30" t="s">
        <v>688</v>
      </c>
      <c r="J65" s="45">
        <v>158</v>
      </c>
      <c r="K65" s="46" t="s">
        <v>21</v>
      </c>
      <c r="L65" s="22" t="s">
        <v>21</v>
      </c>
      <c r="M65" s="66" t="s">
        <v>196</v>
      </c>
      <c r="N65" s="41"/>
    </row>
    <row r="66" spans="1:14" s="42" customFormat="1" ht="58" customHeight="1" x14ac:dyDescent="0.35">
      <c r="A66" s="22">
        <f t="shared" si="0"/>
        <v>62</v>
      </c>
      <c r="B66" s="36" t="s">
        <v>200</v>
      </c>
      <c r="C66" s="43" t="s">
        <v>199</v>
      </c>
      <c r="D66" s="37" t="s">
        <v>3</v>
      </c>
      <c r="E66" s="37" t="s">
        <v>3</v>
      </c>
      <c r="F66" s="37" t="s">
        <v>179</v>
      </c>
      <c r="G66" s="30">
        <v>-3.7254558786061098</v>
      </c>
      <c r="H66" s="28">
        <v>-75.424900730611</v>
      </c>
      <c r="I66" s="28" t="s">
        <v>688</v>
      </c>
      <c r="J66" s="45">
        <v>152</v>
      </c>
      <c r="K66" s="46" t="s">
        <v>21</v>
      </c>
      <c r="L66" s="22" t="s">
        <v>21</v>
      </c>
      <c r="M66" s="66" t="s">
        <v>196</v>
      </c>
      <c r="N66" s="41"/>
    </row>
    <row r="67" spans="1:14" s="42" customFormat="1" ht="51.5" customHeight="1" x14ac:dyDescent="0.35">
      <c r="A67" s="22">
        <f t="shared" si="0"/>
        <v>63</v>
      </c>
      <c r="B67" s="36" t="s">
        <v>202</v>
      </c>
      <c r="C67" s="43" t="s">
        <v>201</v>
      </c>
      <c r="D67" s="37" t="s">
        <v>3</v>
      </c>
      <c r="E67" s="37" t="s">
        <v>3</v>
      </c>
      <c r="F67" s="37" t="s">
        <v>179</v>
      </c>
      <c r="G67" s="30">
        <v>-3.6923084125642802</v>
      </c>
      <c r="H67" s="30">
        <v>-75.584380820483105</v>
      </c>
      <c r="I67" s="30" t="s">
        <v>688</v>
      </c>
      <c r="J67" s="45">
        <v>150</v>
      </c>
      <c r="K67" s="46" t="s">
        <v>21</v>
      </c>
      <c r="L67" s="22" t="s">
        <v>21</v>
      </c>
      <c r="M67" s="66" t="s">
        <v>196</v>
      </c>
      <c r="N67" s="41"/>
    </row>
    <row r="68" spans="1:14" s="42" customFormat="1" ht="54" customHeight="1" x14ac:dyDescent="0.35">
      <c r="A68" s="22">
        <f t="shared" si="0"/>
        <v>64</v>
      </c>
      <c r="B68" s="36" t="s">
        <v>204</v>
      </c>
      <c r="C68" s="43" t="s">
        <v>203</v>
      </c>
      <c r="D68" s="37" t="s">
        <v>3</v>
      </c>
      <c r="E68" s="37" t="s">
        <v>3</v>
      </c>
      <c r="F68" s="37" t="s">
        <v>179</v>
      </c>
      <c r="G68" s="28">
        <v>-3.6944429733234698</v>
      </c>
      <c r="H68" s="30">
        <v>-75.584994547592899</v>
      </c>
      <c r="I68" s="30" t="s">
        <v>688</v>
      </c>
      <c r="J68" s="45">
        <v>144</v>
      </c>
      <c r="K68" s="46" t="s">
        <v>21</v>
      </c>
      <c r="L68" s="22" t="s">
        <v>21</v>
      </c>
      <c r="M68" s="66" t="s">
        <v>196</v>
      </c>
      <c r="N68" s="41"/>
    </row>
    <row r="69" spans="1:14" s="42" customFormat="1" ht="105" customHeight="1" x14ac:dyDescent="0.35">
      <c r="A69" s="22">
        <f t="shared" si="0"/>
        <v>65</v>
      </c>
      <c r="B69" s="36" t="s">
        <v>206</v>
      </c>
      <c r="C69" s="45" t="s">
        <v>205</v>
      </c>
      <c r="D69" s="60" t="s">
        <v>3</v>
      </c>
      <c r="E69" s="60" t="s">
        <v>3</v>
      </c>
      <c r="F69" s="60" t="s">
        <v>179</v>
      </c>
      <c r="G69" s="30">
        <v>-3.1685176181913199</v>
      </c>
      <c r="H69" s="30">
        <v>-75.655359898465903</v>
      </c>
      <c r="I69" s="30" t="s">
        <v>688</v>
      </c>
      <c r="J69" s="45">
        <v>159</v>
      </c>
      <c r="K69" s="46">
        <v>152</v>
      </c>
      <c r="L69" s="22" t="s">
        <v>21</v>
      </c>
      <c r="M69" s="47" t="s">
        <v>724</v>
      </c>
      <c r="N69" s="41"/>
    </row>
    <row r="70" spans="1:14" s="42" customFormat="1" ht="96.5" customHeight="1" x14ac:dyDescent="0.35">
      <c r="A70" s="22">
        <f t="shared" ref="A70:A133" si="1">+(A69+1)</f>
        <v>66</v>
      </c>
      <c r="B70" s="34" t="s">
        <v>208</v>
      </c>
      <c r="C70" s="22" t="s">
        <v>207</v>
      </c>
      <c r="D70" s="56" t="s">
        <v>3</v>
      </c>
      <c r="E70" s="56" t="s">
        <v>3</v>
      </c>
      <c r="F70" s="56" t="s">
        <v>179</v>
      </c>
      <c r="G70" s="32">
        <v>-3.7087875654705802</v>
      </c>
      <c r="H70" s="32">
        <v>-75.329238604939405</v>
      </c>
      <c r="I70" s="32" t="s">
        <v>688</v>
      </c>
      <c r="J70" s="22">
        <v>129</v>
      </c>
      <c r="K70" s="54">
        <v>128</v>
      </c>
      <c r="L70" s="22" t="s">
        <v>652</v>
      </c>
      <c r="M70" s="55" t="s">
        <v>724</v>
      </c>
      <c r="N70" s="41"/>
    </row>
    <row r="71" spans="1:14" s="42" customFormat="1" ht="102" customHeight="1" x14ac:dyDescent="0.35">
      <c r="A71" s="22">
        <f t="shared" si="1"/>
        <v>67</v>
      </c>
      <c r="B71" s="36" t="s">
        <v>210</v>
      </c>
      <c r="C71" s="45" t="s">
        <v>209</v>
      </c>
      <c r="D71" s="60" t="s">
        <v>3</v>
      </c>
      <c r="E71" s="60" t="s">
        <v>3</v>
      </c>
      <c r="F71" s="60" t="s">
        <v>179</v>
      </c>
      <c r="G71" s="30">
        <v>-3.7102089421679598</v>
      </c>
      <c r="H71" s="30">
        <v>-75.326465483465398</v>
      </c>
      <c r="I71" s="30" t="s">
        <v>688</v>
      </c>
      <c r="J71" s="45">
        <v>138</v>
      </c>
      <c r="K71" s="46">
        <v>124</v>
      </c>
      <c r="L71" s="22" t="s">
        <v>652</v>
      </c>
      <c r="M71" s="47" t="s">
        <v>724</v>
      </c>
      <c r="N71" s="41"/>
    </row>
    <row r="72" spans="1:14" s="42" customFormat="1" ht="98" customHeight="1" x14ac:dyDescent="0.35">
      <c r="A72" s="22">
        <f t="shared" si="1"/>
        <v>68</v>
      </c>
      <c r="B72" s="36" t="s">
        <v>212</v>
      </c>
      <c r="C72" s="45" t="s">
        <v>211</v>
      </c>
      <c r="D72" s="60" t="s">
        <v>3</v>
      </c>
      <c r="E72" s="60" t="s">
        <v>3</v>
      </c>
      <c r="F72" s="60" t="s">
        <v>179</v>
      </c>
      <c r="G72" s="28">
        <v>-3.8005435679905601</v>
      </c>
      <c r="H72" s="30">
        <v>-75.093612708178597</v>
      </c>
      <c r="I72" s="30" t="s">
        <v>688</v>
      </c>
      <c r="J72" s="45">
        <v>129</v>
      </c>
      <c r="K72" s="46">
        <v>129</v>
      </c>
      <c r="L72" s="22" t="s">
        <v>21</v>
      </c>
      <c r="M72" s="47" t="s">
        <v>724</v>
      </c>
      <c r="N72" s="41"/>
    </row>
    <row r="73" spans="1:14" s="42" customFormat="1" ht="100.5" customHeight="1" x14ac:dyDescent="0.35">
      <c r="A73" s="22">
        <f t="shared" si="1"/>
        <v>69</v>
      </c>
      <c r="B73" s="36" t="s">
        <v>214</v>
      </c>
      <c r="C73" s="45" t="s">
        <v>213</v>
      </c>
      <c r="D73" s="60" t="s">
        <v>3</v>
      </c>
      <c r="E73" s="60" t="s">
        <v>3</v>
      </c>
      <c r="F73" s="60" t="s">
        <v>179</v>
      </c>
      <c r="G73" s="30">
        <v>-3.81012295473912</v>
      </c>
      <c r="H73" s="30">
        <v>-75.104709760079601</v>
      </c>
      <c r="I73" s="30" t="s">
        <v>688</v>
      </c>
      <c r="J73" s="45">
        <v>131</v>
      </c>
      <c r="K73" s="46">
        <v>130</v>
      </c>
      <c r="L73" s="45" t="s">
        <v>21</v>
      </c>
      <c r="M73" s="47" t="s">
        <v>724</v>
      </c>
      <c r="N73" s="41"/>
    </row>
    <row r="74" spans="1:14" s="42" customFormat="1" ht="96" customHeight="1" x14ac:dyDescent="0.35">
      <c r="A74" s="22">
        <f t="shared" si="1"/>
        <v>70</v>
      </c>
      <c r="B74" s="36" t="s">
        <v>216</v>
      </c>
      <c r="C74" s="45" t="s">
        <v>215</v>
      </c>
      <c r="D74" s="60" t="s">
        <v>3</v>
      </c>
      <c r="E74" s="60" t="s">
        <v>3</v>
      </c>
      <c r="F74" s="60" t="s">
        <v>179</v>
      </c>
      <c r="G74" s="30">
        <v>-3.8203257084229598</v>
      </c>
      <c r="H74" s="30">
        <v>-75.120985939896698</v>
      </c>
      <c r="I74" s="30" t="s">
        <v>688</v>
      </c>
      <c r="J74" s="45">
        <v>130</v>
      </c>
      <c r="K74" s="46">
        <v>133</v>
      </c>
      <c r="L74" s="22" t="s">
        <v>21</v>
      </c>
      <c r="M74" s="47" t="s">
        <v>724</v>
      </c>
      <c r="N74" s="41"/>
    </row>
    <row r="75" spans="1:14" s="42" customFormat="1" ht="99.5" customHeight="1" x14ac:dyDescent="0.35">
      <c r="A75" s="22">
        <f t="shared" si="1"/>
        <v>71</v>
      </c>
      <c r="B75" s="36" t="s">
        <v>218</v>
      </c>
      <c r="C75" s="45" t="s">
        <v>217</v>
      </c>
      <c r="D75" s="60" t="s">
        <v>3</v>
      </c>
      <c r="E75" s="60" t="s">
        <v>3</v>
      </c>
      <c r="F75" s="60" t="s">
        <v>179</v>
      </c>
      <c r="G75" s="30">
        <v>-3.8110299386901598</v>
      </c>
      <c r="H75" s="30">
        <v>-75.083823752977395</v>
      </c>
      <c r="I75" s="30" t="s">
        <v>688</v>
      </c>
      <c r="J75" s="45">
        <v>133</v>
      </c>
      <c r="K75" s="46">
        <v>129</v>
      </c>
      <c r="L75" s="22" t="s">
        <v>21</v>
      </c>
      <c r="M75" s="47" t="s">
        <v>724</v>
      </c>
      <c r="N75" s="41"/>
    </row>
    <row r="76" spans="1:14" s="42" customFormat="1" ht="101" customHeight="1" x14ac:dyDescent="0.35">
      <c r="A76" s="22">
        <f t="shared" si="1"/>
        <v>72</v>
      </c>
      <c r="B76" s="36" t="s">
        <v>220</v>
      </c>
      <c r="C76" s="45" t="s">
        <v>219</v>
      </c>
      <c r="D76" s="60" t="s">
        <v>3</v>
      </c>
      <c r="E76" s="60" t="s">
        <v>3</v>
      </c>
      <c r="F76" s="60" t="s">
        <v>179</v>
      </c>
      <c r="G76" s="30">
        <v>-3.7931569759135</v>
      </c>
      <c r="H76" s="28">
        <v>-74.872677399561297</v>
      </c>
      <c r="I76" s="28" t="s">
        <v>688</v>
      </c>
      <c r="J76" s="45">
        <v>127</v>
      </c>
      <c r="K76" s="46">
        <v>105</v>
      </c>
      <c r="L76" s="45" t="s">
        <v>651</v>
      </c>
      <c r="M76" s="47" t="s">
        <v>724</v>
      </c>
      <c r="N76" s="41"/>
    </row>
    <row r="77" spans="1:14" s="42" customFormat="1" ht="112" customHeight="1" x14ac:dyDescent="0.35">
      <c r="A77" s="22">
        <f t="shared" si="1"/>
        <v>73</v>
      </c>
      <c r="B77" s="36" t="s">
        <v>222</v>
      </c>
      <c r="C77" s="45" t="s">
        <v>221</v>
      </c>
      <c r="D77" s="60" t="s">
        <v>3</v>
      </c>
      <c r="E77" s="60" t="s">
        <v>3</v>
      </c>
      <c r="F77" s="60" t="s">
        <v>179</v>
      </c>
      <c r="G77" s="30">
        <v>-3.7931972631830799</v>
      </c>
      <c r="H77" s="30">
        <v>-74.842704367363993</v>
      </c>
      <c r="I77" s="30" t="s">
        <v>688</v>
      </c>
      <c r="J77" s="45">
        <v>133</v>
      </c>
      <c r="K77" s="46">
        <v>106</v>
      </c>
      <c r="L77" s="22" t="s">
        <v>652</v>
      </c>
      <c r="M77" s="47" t="s">
        <v>724</v>
      </c>
      <c r="N77" s="41"/>
    </row>
    <row r="78" spans="1:14" s="42" customFormat="1" ht="42.5" customHeight="1" x14ac:dyDescent="0.35">
      <c r="A78" s="4">
        <f t="shared" si="1"/>
        <v>74</v>
      </c>
      <c r="B78" s="5" t="s">
        <v>223</v>
      </c>
      <c r="C78" s="5" t="s">
        <v>21</v>
      </c>
      <c r="D78" s="6" t="s">
        <v>3</v>
      </c>
      <c r="E78" s="6" t="s">
        <v>3</v>
      </c>
      <c r="F78" s="6" t="s">
        <v>179</v>
      </c>
      <c r="G78" s="31">
        <v>-3.1284734299168613</v>
      </c>
      <c r="H78" s="31">
        <v>-75.704165814677978</v>
      </c>
      <c r="I78" s="31" t="s">
        <v>689</v>
      </c>
      <c r="J78" s="5">
        <v>175</v>
      </c>
      <c r="K78" s="24" t="s">
        <v>21</v>
      </c>
      <c r="L78" s="22" t="s">
        <v>21</v>
      </c>
      <c r="M78" s="47" t="s">
        <v>744</v>
      </c>
      <c r="N78" s="41"/>
    </row>
    <row r="79" spans="1:14" s="42" customFormat="1" ht="40" customHeight="1" x14ac:dyDescent="0.35">
      <c r="A79" s="22">
        <f t="shared" si="1"/>
        <v>75</v>
      </c>
      <c r="B79" s="36" t="s">
        <v>138</v>
      </c>
      <c r="C79" s="43" t="s">
        <v>21</v>
      </c>
      <c r="D79" s="60" t="s">
        <v>3</v>
      </c>
      <c r="E79" s="60" t="s">
        <v>3</v>
      </c>
      <c r="F79" s="60" t="s">
        <v>139</v>
      </c>
      <c r="G79" s="44">
        <v>-4.559463499147717</v>
      </c>
      <c r="H79" s="44">
        <v>-74.8153803535767</v>
      </c>
      <c r="I79" s="44" t="s">
        <v>689</v>
      </c>
      <c r="J79" s="48">
        <v>111</v>
      </c>
      <c r="K79" s="44" t="s">
        <v>21</v>
      </c>
      <c r="L79" s="22" t="s">
        <v>21</v>
      </c>
      <c r="M79" s="47" t="s">
        <v>697</v>
      </c>
      <c r="N79" s="41"/>
    </row>
    <row r="80" spans="1:14" s="42" customFormat="1" ht="43" customHeight="1" x14ac:dyDescent="0.35">
      <c r="A80" s="22">
        <f t="shared" si="1"/>
        <v>76</v>
      </c>
      <c r="B80" s="36" t="s">
        <v>140</v>
      </c>
      <c r="C80" s="43" t="s">
        <v>21</v>
      </c>
      <c r="D80" s="60" t="s">
        <v>3</v>
      </c>
      <c r="E80" s="60" t="s">
        <v>3</v>
      </c>
      <c r="F80" s="60" t="s">
        <v>139</v>
      </c>
      <c r="G80" s="44">
        <v>-4.6149683903956173</v>
      </c>
      <c r="H80" s="44">
        <v>-74.795071687988042</v>
      </c>
      <c r="I80" s="44" t="s">
        <v>689</v>
      </c>
      <c r="J80" s="48">
        <v>112</v>
      </c>
      <c r="K80" s="44" t="s">
        <v>21</v>
      </c>
      <c r="L80" s="22" t="s">
        <v>21</v>
      </c>
      <c r="M80" s="47" t="s">
        <v>697</v>
      </c>
      <c r="N80" s="41"/>
    </row>
    <row r="81" spans="1:15" s="42" customFormat="1" ht="44.5" customHeight="1" x14ac:dyDescent="0.35">
      <c r="A81" s="22">
        <f t="shared" si="1"/>
        <v>77</v>
      </c>
      <c r="B81" s="36" t="s">
        <v>141</v>
      </c>
      <c r="C81" s="43" t="s">
        <v>21</v>
      </c>
      <c r="D81" s="60" t="s">
        <v>3</v>
      </c>
      <c r="E81" s="60" t="s">
        <v>3</v>
      </c>
      <c r="F81" s="60" t="s">
        <v>139</v>
      </c>
      <c r="G81" s="44">
        <v>-4.6389725079861135</v>
      </c>
      <c r="H81" s="44">
        <v>-74.806830708108407</v>
      </c>
      <c r="I81" s="44" t="s">
        <v>689</v>
      </c>
      <c r="J81" s="48">
        <v>112</v>
      </c>
      <c r="K81" s="44" t="s">
        <v>21</v>
      </c>
      <c r="L81" s="22" t="s">
        <v>651</v>
      </c>
      <c r="M81" s="47" t="s">
        <v>697</v>
      </c>
      <c r="N81" s="41"/>
    </row>
    <row r="82" spans="1:15" s="42" customFormat="1" ht="38.5" customHeight="1" x14ac:dyDescent="0.35">
      <c r="A82" s="34">
        <f t="shared" si="1"/>
        <v>78</v>
      </c>
      <c r="B82" s="36" t="s">
        <v>142</v>
      </c>
      <c r="C82" s="59" t="s">
        <v>21</v>
      </c>
      <c r="D82" s="60" t="s">
        <v>3</v>
      </c>
      <c r="E82" s="60" t="s">
        <v>3</v>
      </c>
      <c r="F82" s="60" t="s">
        <v>139</v>
      </c>
      <c r="G82" s="30">
        <v>-4.6579650490514801</v>
      </c>
      <c r="H82" s="30">
        <v>-74.787972511421401</v>
      </c>
      <c r="I82" s="30" t="s">
        <v>689</v>
      </c>
      <c r="J82" s="67">
        <v>115</v>
      </c>
      <c r="K82" s="68" t="s">
        <v>21</v>
      </c>
      <c r="L82" s="22" t="s">
        <v>21</v>
      </c>
      <c r="M82" s="47" t="s">
        <v>697</v>
      </c>
      <c r="N82" s="41"/>
    </row>
    <row r="83" spans="1:15" s="42" customFormat="1" ht="47.5" customHeight="1" x14ac:dyDescent="0.35">
      <c r="A83" s="22">
        <f t="shared" si="1"/>
        <v>79</v>
      </c>
      <c r="B83" s="36" t="s">
        <v>143</v>
      </c>
      <c r="C83" s="43" t="s">
        <v>21</v>
      </c>
      <c r="D83" s="60" t="s">
        <v>3</v>
      </c>
      <c r="E83" s="60" t="s">
        <v>3</v>
      </c>
      <c r="F83" s="60" t="s">
        <v>139</v>
      </c>
      <c r="G83" s="28">
        <v>-4.6773517416359303</v>
      </c>
      <c r="H83" s="30">
        <v>-74.858557123835894</v>
      </c>
      <c r="I83" s="30" t="s">
        <v>689</v>
      </c>
      <c r="J83" s="48">
        <v>108</v>
      </c>
      <c r="K83" s="44" t="s">
        <v>21</v>
      </c>
      <c r="L83" s="22" t="s">
        <v>21</v>
      </c>
      <c r="M83" s="47" t="s">
        <v>697</v>
      </c>
      <c r="N83" s="41"/>
    </row>
    <row r="84" spans="1:15" s="42" customFormat="1" ht="117" customHeight="1" x14ac:dyDescent="0.35">
      <c r="A84" s="22">
        <f t="shared" si="1"/>
        <v>80</v>
      </c>
      <c r="B84" s="36" t="s">
        <v>144</v>
      </c>
      <c r="C84" s="43" t="s">
        <v>660</v>
      </c>
      <c r="D84" s="60" t="s">
        <v>3</v>
      </c>
      <c r="E84" s="60" t="s">
        <v>3</v>
      </c>
      <c r="F84" s="60" t="s">
        <v>139</v>
      </c>
      <c r="G84" s="44">
        <v>-4.6728875157109862</v>
      </c>
      <c r="H84" s="44">
        <v>-74.838929126725418</v>
      </c>
      <c r="I84" s="44" t="s">
        <v>689</v>
      </c>
      <c r="J84" s="48">
        <v>107</v>
      </c>
      <c r="K84" s="44" t="s">
        <v>21</v>
      </c>
      <c r="L84" s="22" t="s">
        <v>21</v>
      </c>
      <c r="M84" s="47" t="s">
        <v>725</v>
      </c>
      <c r="N84" s="41"/>
    </row>
    <row r="85" spans="1:15" s="42" customFormat="1" ht="46.5" customHeight="1" x14ac:dyDescent="0.35">
      <c r="A85" s="22">
        <f t="shared" si="1"/>
        <v>81</v>
      </c>
      <c r="B85" s="36" t="s">
        <v>145</v>
      </c>
      <c r="C85" s="43" t="s">
        <v>21</v>
      </c>
      <c r="D85" s="60" t="s">
        <v>3</v>
      </c>
      <c r="E85" s="60" t="s">
        <v>3</v>
      </c>
      <c r="F85" s="60" t="s">
        <v>139</v>
      </c>
      <c r="G85" s="28">
        <v>-4.6967600379663699</v>
      </c>
      <c r="H85" s="30">
        <v>-74.875153150447005</v>
      </c>
      <c r="I85" s="30" t="s">
        <v>689</v>
      </c>
      <c r="J85" s="48">
        <v>108</v>
      </c>
      <c r="K85" s="44" t="s">
        <v>21</v>
      </c>
      <c r="L85" s="22" t="s">
        <v>651</v>
      </c>
      <c r="M85" s="47" t="s">
        <v>697</v>
      </c>
      <c r="N85" s="41"/>
    </row>
    <row r="86" spans="1:15" s="42" customFormat="1" ht="50.5" customHeight="1" x14ac:dyDescent="0.35">
      <c r="A86" s="22">
        <f t="shared" si="1"/>
        <v>82</v>
      </c>
      <c r="B86" s="36" t="s">
        <v>146</v>
      </c>
      <c r="C86" s="43" t="s">
        <v>21</v>
      </c>
      <c r="D86" s="60" t="s">
        <v>3</v>
      </c>
      <c r="E86" s="60" t="s">
        <v>3</v>
      </c>
      <c r="F86" s="60" t="s">
        <v>139</v>
      </c>
      <c r="G86" s="30">
        <v>-4.70520124375048</v>
      </c>
      <c r="H86" s="30">
        <v>-74.878839565005507</v>
      </c>
      <c r="I86" s="30" t="s">
        <v>689</v>
      </c>
      <c r="J86" s="48">
        <v>108</v>
      </c>
      <c r="K86" s="44" t="s">
        <v>21</v>
      </c>
      <c r="L86" s="22" t="s">
        <v>21</v>
      </c>
      <c r="M86" s="47" t="s">
        <v>697</v>
      </c>
      <c r="N86" s="41"/>
    </row>
    <row r="87" spans="1:15" s="42" customFormat="1" ht="40.5" customHeight="1" x14ac:dyDescent="0.35">
      <c r="A87" s="22">
        <f t="shared" si="1"/>
        <v>83</v>
      </c>
      <c r="B87" s="50" t="s">
        <v>147</v>
      </c>
      <c r="C87" s="43" t="s">
        <v>21</v>
      </c>
      <c r="D87" s="60" t="s">
        <v>3</v>
      </c>
      <c r="E87" s="60" t="s">
        <v>3</v>
      </c>
      <c r="F87" s="60" t="s">
        <v>139</v>
      </c>
      <c r="G87" s="44">
        <v>-4.7365575467282675</v>
      </c>
      <c r="H87" s="44">
        <v>-74.961450885030459</v>
      </c>
      <c r="I87" s="44" t="s">
        <v>689</v>
      </c>
      <c r="J87" s="48">
        <v>120</v>
      </c>
      <c r="K87" s="44" t="s">
        <v>21</v>
      </c>
      <c r="L87" s="22" t="s">
        <v>21</v>
      </c>
      <c r="M87" s="47" t="s">
        <v>697</v>
      </c>
      <c r="N87" s="41"/>
      <c r="O87" s="62"/>
    </row>
    <row r="88" spans="1:15" s="42" customFormat="1" ht="51.5" customHeight="1" x14ac:dyDescent="0.35">
      <c r="A88" s="45">
        <f t="shared" si="1"/>
        <v>84</v>
      </c>
      <c r="B88" s="34" t="s">
        <v>148</v>
      </c>
      <c r="C88" s="51" t="s">
        <v>21</v>
      </c>
      <c r="D88" s="56" t="s">
        <v>3</v>
      </c>
      <c r="E88" s="56" t="s">
        <v>3</v>
      </c>
      <c r="F88" s="56" t="s">
        <v>139</v>
      </c>
      <c r="G88" s="29">
        <v>-4.7621399717938901</v>
      </c>
      <c r="H88" s="29">
        <v>-75.060571676873394</v>
      </c>
      <c r="I88" s="29" t="s">
        <v>689</v>
      </c>
      <c r="J88" s="57">
        <v>116</v>
      </c>
      <c r="K88" s="53" t="s">
        <v>21</v>
      </c>
      <c r="L88" s="22" t="s">
        <v>651</v>
      </c>
      <c r="M88" s="55" t="s">
        <v>697</v>
      </c>
      <c r="N88" s="41"/>
      <c r="O88" s="62"/>
    </row>
    <row r="89" spans="1:15" s="42" customFormat="1" ht="48" customHeight="1" x14ac:dyDescent="0.35">
      <c r="A89" s="34">
        <f t="shared" si="1"/>
        <v>85</v>
      </c>
      <c r="B89" s="36" t="s">
        <v>149</v>
      </c>
      <c r="C89" s="59" t="s">
        <v>21</v>
      </c>
      <c r="D89" s="60" t="s">
        <v>3</v>
      </c>
      <c r="E89" s="60" t="s">
        <v>3</v>
      </c>
      <c r="F89" s="60" t="s">
        <v>139</v>
      </c>
      <c r="G89" s="28">
        <v>-4.8135752940429501</v>
      </c>
      <c r="H89" s="28">
        <v>-75.096009238983299</v>
      </c>
      <c r="I89" s="28" t="s">
        <v>689</v>
      </c>
      <c r="J89" s="67">
        <v>114</v>
      </c>
      <c r="K89" s="68" t="s">
        <v>21</v>
      </c>
      <c r="L89" s="22" t="s">
        <v>651</v>
      </c>
      <c r="M89" s="47" t="s">
        <v>697</v>
      </c>
      <c r="N89" s="41"/>
      <c r="O89" s="62"/>
    </row>
    <row r="90" spans="1:15" s="62" customFormat="1" ht="39" customHeight="1" x14ac:dyDescent="0.35">
      <c r="A90" s="22">
        <f t="shared" si="1"/>
        <v>86</v>
      </c>
      <c r="B90" s="36" t="s">
        <v>139</v>
      </c>
      <c r="C90" s="43" t="s">
        <v>21</v>
      </c>
      <c r="D90" s="60" t="s">
        <v>3</v>
      </c>
      <c r="E90" s="60" t="s">
        <v>3</v>
      </c>
      <c r="F90" s="60" t="s">
        <v>139</v>
      </c>
      <c r="G90" s="28">
        <v>-4.7914892023245796</v>
      </c>
      <c r="H90" s="28">
        <v>-75.274643767716299</v>
      </c>
      <c r="I90" s="28" t="s">
        <v>689</v>
      </c>
      <c r="J90" s="48">
        <v>117</v>
      </c>
      <c r="K90" s="44" t="s">
        <v>21</v>
      </c>
      <c r="L90" s="22" t="s">
        <v>652</v>
      </c>
      <c r="M90" s="47" t="s">
        <v>697</v>
      </c>
      <c r="N90" s="41"/>
    </row>
    <row r="91" spans="1:15" s="62" customFormat="1" ht="109" customHeight="1" x14ac:dyDescent="0.35">
      <c r="A91" s="22">
        <f t="shared" si="1"/>
        <v>87</v>
      </c>
      <c r="B91" s="36" t="s">
        <v>151</v>
      </c>
      <c r="C91" s="43" t="s">
        <v>150</v>
      </c>
      <c r="D91" s="60" t="s">
        <v>3</v>
      </c>
      <c r="E91" s="60" t="s">
        <v>3</v>
      </c>
      <c r="F91" s="60" t="s">
        <v>139</v>
      </c>
      <c r="G91" s="44">
        <v>-4.7881423665565599</v>
      </c>
      <c r="H91" s="44">
        <v>-75.315718922951575</v>
      </c>
      <c r="I91" s="44" t="s">
        <v>689</v>
      </c>
      <c r="J91" s="48">
        <v>117</v>
      </c>
      <c r="K91" s="61">
        <v>111</v>
      </c>
      <c r="L91" s="22" t="s">
        <v>21</v>
      </c>
      <c r="M91" s="47" t="s">
        <v>725</v>
      </c>
      <c r="N91" s="41"/>
    </row>
    <row r="92" spans="1:15" s="62" customFormat="1" ht="45.5" customHeight="1" x14ac:dyDescent="0.35">
      <c r="A92" s="22">
        <f t="shared" si="1"/>
        <v>88</v>
      </c>
      <c r="B92" s="36" t="s">
        <v>152</v>
      </c>
      <c r="C92" s="43" t="s">
        <v>21</v>
      </c>
      <c r="D92" s="60" t="s">
        <v>3</v>
      </c>
      <c r="E92" s="60" t="s">
        <v>3</v>
      </c>
      <c r="F92" s="60" t="s">
        <v>139</v>
      </c>
      <c r="G92" s="28">
        <v>-4.80104683124876</v>
      </c>
      <c r="H92" s="28">
        <v>-75.344600579814696</v>
      </c>
      <c r="I92" s="28" t="s">
        <v>689</v>
      </c>
      <c r="J92" s="48">
        <v>113</v>
      </c>
      <c r="K92" s="44" t="s">
        <v>21</v>
      </c>
      <c r="L92" s="22" t="s">
        <v>651</v>
      </c>
      <c r="M92" s="47" t="s">
        <v>697</v>
      </c>
      <c r="N92" s="41"/>
    </row>
    <row r="93" spans="1:15" s="62" customFormat="1" ht="122" customHeight="1" x14ac:dyDescent="0.35">
      <c r="A93" s="22">
        <f t="shared" si="1"/>
        <v>89</v>
      </c>
      <c r="B93" s="36" t="s">
        <v>154</v>
      </c>
      <c r="C93" s="45" t="s">
        <v>153</v>
      </c>
      <c r="D93" s="60" t="s">
        <v>3</v>
      </c>
      <c r="E93" s="60" t="s">
        <v>3</v>
      </c>
      <c r="F93" s="60" t="s">
        <v>139</v>
      </c>
      <c r="G93" s="44">
        <v>-4.8034242136651191</v>
      </c>
      <c r="H93" s="44">
        <v>-75.217401467217655</v>
      </c>
      <c r="I93" s="44" t="s">
        <v>689</v>
      </c>
      <c r="J93" s="48">
        <v>112</v>
      </c>
      <c r="K93" s="61">
        <v>99</v>
      </c>
      <c r="L93" s="22" t="s">
        <v>21</v>
      </c>
      <c r="M93" s="47" t="s">
        <v>726</v>
      </c>
      <c r="N93" s="41"/>
    </row>
    <row r="94" spans="1:15" s="62" customFormat="1" ht="47.5" customHeight="1" x14ac:dyDescent="0.35">
      <c r="A94" s="22">
        <f t="shared" si="1"/>
        <v>90</v>
      </c>
      <c r="B94" s="36" t="s">
        <v>155</v>
      </c>
      <c r="C94" s="45" t="s">
        <v>21</v>
      </c>
      <c r="D94" s="37" t="s">
        <v>3</v>
      </c>
      <c r="E94" s="37" t="s">
        <v>3</v>
      </c>
      <c r="F94" s="37" t="s">
        <v>139</v>
      </c>
      <c r="G94" s="44">
        <v>-4.8308142721950258</v>
      </c>
      <c r="H94" s="44">
        <v>-75.120893852037312</v>
      </c>
      <c r="I94" s="44" t="s">
        <v>689</v>
      </c>
      <c r="J94" s="48">
        <v>116</v>
      </c>
      <c r="K94" s="44" t="s">
        <v>21</v>
      </c>
      <c r="L94" s="22" t="s">
        <v>21</v>
      </c>
      <c r="M94" s="47" t="s">
        <v>697</v>
      </c>
      <c r="N94" s="41"/>
    </row>
    <row r="95" spans="1:15" s="62" customFormat="1" ht="102.5" customHeight="1" x14ac:dyDescent="0.35">
      <c r="A95" s="22">
        <f t="shared" si="1"/>
        <v>91</v>
      </c>
      <c r="B95" s="59" t="s">
        <v>162</v>
      </c>
      <c r="C95" s="43" t="s">
        <v>161</v>
      </c>
      <c r="D95" s="37" t="s">
        <v>3</v>
      </c>
      <c r="E95" s="37" t="s">
        <v>3</v>
      </c>
      <c r="F95" s="37" t="s">
        <v>139</v>
      </c>
      <c r="G95" s="30">
        <v>-4.7663568504799203</v>
      </c>
      <c r="H95" s="30">
        <v>-75.046071550823299</v>
      </c>
      <c r="I95" s="30" t="s">
        <v>688</v>
      </c>
      <c r="J95" s="45">
        <v>126</v>
      </c>
      <c r="K95" s="46" t="s">
        <v>21</v>
      </c>
      <c r="L95" s="22" t="s">
        <v>21</v>
      </c>
      <c r="M95" s="47" t="s">
        <v>724</v>
      </c>
      <c r="N95" s="41"/>
    </row>
    <row r="96" spans="1:15" s="62" customFormat="1" ht="101" customHeight="1" x14ac:dyDescent="0.35">
      <c r="A96" s="22">
        <f t="shared" si="1"/>
        <v>92</v>
      </c>
      <c r="B96" s="59" t="s">
        <v>164</v>
      </c>
      <c r="C96" s="43" t="s">
        <v>163</v>
      </c>
      <c r="D96" s="37" t="s">
        <v>3</v>
      </c>
      <c r="E96" s="37" t="s">
        <v>3</v>
      </c>
      <c r="F96" s="37" t="s">
        <v>139</v>
      </c>
      <c r="G96" s="30">
        <v>-4.6352659987327103</v>
      </c>
      <c r="H96" s="30">
        <v>-74.816776353213299</v>
      </c>
      <c r="I96" s="30" t="s">
        <v>688</v>
      </c>
      <c r="J96" s="45">
        <v>117</v>
      </c>
      <c r="K96" s="46">
        <v>111</v>
      </c>
      <c r="L96" s="22" t="s">
        <v>21</v>
      </c>
      <c r="M96" s="47" t="s">
        <v>724</v>
      </c>
      <c r="N96" s="41"/>
    </row>
    <row r="97" spans="1:15" s="62" customFormat="1" ht="102.5" customHeight="1" x14ac:dyDescent="0.35">
      <c r="A97" s="22">
        <f t="shared" si="1"/>
        <v>93</v>
      </c>
      <c r="B97" s="59" t="s">
        <v>166</v>
      </c>
      <c r="C97" s="43" t="s">
        <v>165</v>
      </c>
      <c r="D97" s="37" t="s">
        <v>3</v>
      </c>
      <c r="E97" s="37" t="s">
        <v>3</v>
      </c>
      <c r="F97" s="37" t="s">
        <v>139</v>
      </c>
      <c r="G97" s="30">
        <v>-4.6206329528605501</v>
      </c>
      <c r="H97" s="30">
        <v>-74.799875482893398</v>
      </c>
      <c r="I97" s="30" t="s">
        <v>688</v>
      </c>
      <c r="J97" s="45">
        <v>115</v>
      </c>
      <c r="K97" s="46">
        <v>115</v>
      </c>
      <c r="L97" s="22" t="s">
        <v>21</v>
      </c>
      <c r="M97" s="47" t="s">
        <v>724</v>
      </c>
      <c r="N97" s="41"/>
    </row>
    <row r="98" spans="1:15" s="62" customFormat="1" ht="51" customHeight="1" x14ac:dyDescent="0.35">
      <c r="A98" s="22">
        <f t="shared" si="1"/>
        <v>94</v>
      </c>
      <c r="B98" s="36" t="s">
        <v>256</v>
      </c>
      <c r="C98" s="43" t="s">
        <v>21</v>
      </c>
      <c r="D98" s="60" t="s">
        <v>3</v>
      </c>
      <c r="E98" s="60" t="s">
        <v>3</v>
      </c>
      <c r="F98" s="60" t="s">
        <v>139</v>
      </c>
      <c r="G98" s="28">
        <v>-4.5804427274755097</v>
      </c>
      <c r="H98" s="28">
        <v>-74.783082203523307</v>
      </c>
      <c r="I98" s="28" t="s">
        <v>689</v>
      </c>
      <c r="J98" s="48">
        <v>111</v>
      </c>
      <c r="K98" s="44" t="s">
        <v>21</v>
      </c>
      <c r="L98" s="22" t="s">
        <v>652</v>
      </c>
      <c r="M98" s="69" t="s">
        <v>692</v>
      </c>
      <c r="N98" s="41"/>
    </row>
    <row r="99" spans="1:15" s="62" customFormat="1" ht="49" customHeight="1" x14ac:dyDescent="0.35">
      <c r="A99" s="22">
        <f t="shared" si="1"/>
        <v>95</v>
      </c>
      <c r="B99" s="36" t="s">
        <v>257</v>
      </c>
      <c r="C99" s="43" t="s">
        <v>21</v>
      </c>
      <c r="D99" s="37" t="s">
        <v>3</v>
      </c>
      <c r="E99" s="37" t="s">
        <v>3</v>
      </c>
      <c r="F99" s="37" t="s">
        <v>139</v>
      </c>
      <c r="G99" s="44">
        <v>-4.4874184509185833</v>
      </c>
      <c r="H99" s="44">
        <v>-75.058889732598658</v>
      </c>
      <c r="I99" s="44" t="s">
        <v>689</v>
      </c>
      <c r="J99" s="45">
        <v>126</v>
      </c>
      <c r="K99" s="46" t="s">
        <v>21</v>
      </c>
      <c r="L99" s="22" t="s">
        <v>652</v>
      </c>
      <c r="M99" s="66" t="s">
        <v>692</v>
      </c>
      <c r="N99" s="41"/>
    </row>
    <row r="100" spans="1:15" s="62" customFormat="1" ht="52.5" customHeight="1" x14ac:dyDescent="0.35">
      <c r="A100" s="22">
        <f t="shared" si="1"/>
        <v>96</v>
      </c>
      <c r="B100" s="36" t="s">
        <v>258</v>
      </c>
      <c r="C100" s="43" t="s">
        <v>21</v>
      </c>
      <c r="D100" s="37" t="s">
        <v>3</v>
      </c>
      <c r="E100" s="37" t="s">
        <v>3</v>
      </c>
      <c r="F100" s="37" t="s">
        <v>139</v>
      </c>
      <c r="G100" s="28">
        <v>-4.3572914709747002</v>
      </c>
      <c r="H100" s="28">
        <v>-75.120039044130095</v>
      </c>
      <c r="I100" s="28" t="s">
        <v>689</v>
      </c>
      <c r="J100" s="45">
        <v>116</v>
      </c>
      <c r="K100" s="46" t="s">
        <v>21</v>
      </c>
      <c r="L100" s="22" t="s">
        <v>21</v>
      </c>
      <c r="M100" s="47" t="s">
        <v>698</v>
      </c>
      <c r="N100" s="41"/>
    </row>
    <row r="101" spans="1:15" s="62" customFormat="1" ht="42" customHeight="1" x14ac:dyDescent="0.35">
      <c r="A101" s="22">
        <f t="shared" si="1"/>
        <v>97</v>
      </c>
      <c r="B101" s="36" t="s">
        <v>259</v>
      </c>
      <c r="C101" s="43" t="s">
        <v>21</v>
      </c>
      <c r="D101" s="37" t="s">
        <v>3</v>
      </c>
      <c r="E101" s="37" t="s">
        <v>3</v>
      </c>
      <c r="F101" s="37" t="s">
        <v>139</v>
      </c>
      <c r="G101" s="28">
        <v>-4.3577798156459799</v>
      </c>
      <c r="H101" s="28">
        <v>-75.121165697745894</v>
      </c>
      <c r="I101" s="28" t="s">
        <v>689</v>
      </c>
      <c r="J101" s="45">
        <v>116</v>
      </c>
      <c r="K101" s="46" t="s">
        <v>21</v>
      </c>
      <c r="L101" s="22" t="s">
        <v>21</v>
      </c>
      <c r="M101" s="47" t="s">
        <v>698</v>
      </c>
      <c r="N101" s="41"/>
    </row>
    <row r="102" spans="1:15" s="62" customFormat="1" ht="41.5" customHeight="1" x14ac:dyDescent="0.35">
      <c r="A102" s="22">
        <f t="shared" si="1"/>
        <v>98</v>
      </c>
      <c r="B102" s="36" t="s">
        <v>260</v>
      </c>
      <c r="C102" s="43" t="s">
        <v>21</v>
      </c>
      <c r="D102" s="37" t="s">
        <v>3</v>
      </c>
      <c r="E102" s="37" t="s">
        <v>3</v>
      </c>
      <c r="F102" s="37" t="s">
        <v>139</v>
      </c>
      <c r="G102" s="28">
        <v>-4.3567757993606904</v>
      </c>
      <c r="H102" s="28">
        <v>-75.120075012753105</v>
      </c>
      <c r="I102" s="28" t="s">
        <v>689</v>
      </c>
      <c r="J102" s="45">
        <v>116</v>
      </c>
      <c r="K102" s="46" t="s">
        <v>21</v>
      </c>
      <c r="L102" s="45" t="s">
        <v>21</v>
      </c>
      <c r="M102" s="47" t="s">
        <v>698</v>
      </c>
      <c r="N102" s="41"/>
    </row>
    <row r="103" spans="1:15" s="42" customFormat="1" ht="54" customHeight="1" x14ac:dyDescent="0.35">
      <c r="A103" s="22">
        <f t="shared" si="1"/>
        <v>99</v>
      </c>
      <c r="B103" s="70" t="s">
        <v>261</v>
      </c>
      <c r="C103" s="51" t="s">
        <v>21</v>
      </c>
      <c r="D103" s="52" t="s">
        <v>3</v>
      </c>
      <c r="E103" s="52" t="s">
        <v>3</v>
      </c>
      <c r="F103" s="52" t="s">
        <v>139</v>
      </c>
      <c r="G103" s="29">
        <v>-4.2963646361982004</v>
      </c>
      <c r="H103" s="29">
        <v>-75.225558344446895</v>
      </c>
      <c r="I103" s="29" t="s">
        <v>689</v>
      </c>
      <c r="J103" s="22">
        <v>129</v>
      </c>
      <c r="K103" s="54" t="s">
        <v>21</v>
      </c>
      <c r="L103" s="22" t="s">
        <v>21</v>
      </c>
      <c r="M103" s="55" t="s">
        <v>699</v>
      </c>
      <c r="N103" s="41"/>
    </row>
    <row r="104" spans="1:15" s="42" customFormat="1" ht="58.5" customHeight="1" x14ac:dyDescent="0.35">
      <c r="A104" s="45">
        <f t="shared" si="1"/>
        <v>100</v>
      </c>
      <c r="B104" s="36" t="s">
        <v>262</v>
      </c>
      <c r="C104" s="43" t="s">
        <v>21</v>
      </c>
      <c r="D104" s="37" t="s">
        <v>3</v>
      </c>
      <c r="E104" s="37" t="s">
        <v>3</v>
      </c>
      <c r="F104" s="37" t="s">
        <v>139</v>
      </c>
      <c r="G104" s="28">
        <v>-4.28996636113758</v>
      </c>
      <c r="H104" s="28">
        <v>-75.232991165077806</v>
      </c>
      <c r="I104" s="28" t="s">
        <v>689</v>
      </c>
      <c r="J104" s="45">
        <v>126</v>
      </c>
      <c r="K104" s="46" t="s">
        <v>21</v>
      </c>
      <c r="L104" s="45" t="s">
        <v>21</v>
      </c>
      <c r="M104" s="47" t="s">
        <v>699</v>
      </c>
      <c r="N104" s="41"/>
    </row>
    <row r="105" spans="1:15" s="42" customFormat="1" ht="63" customHeight="1" x14ac:dyDescent="0.35">
      <c r="A105" s="22">
        <f t="shared" si="1"/>
        <v>101</v>
      </c>
      <c r="B105" s="36" t="s">
        <v>263</v>
      </c>
      <c r="C105" s="43" t="s">
        <v>21</v>
      </c>
      <c r="D105" s="37" t="s">
        <v>3</v>
      </c>
      <c r="E105" s="37" t="s">
        <v>3</v>
      </c>
      <c r="F105" s="37" t="s">
        <v>139</v>
      </c>
      <c r="G105" s="28">
        <v>-4.2840292178627601</v>
      </c>
      <c r="H105" s="28">
        <v>-75.241009764130595</v>
      </c>
      <c r="I105" s="28" t="s">
        <v>689</v>
      </c>
      <c r="J105" s="45">
        <v>126</v>
      </c>
      <c r="K105" s="46" t="s">
        <v>21</v>
      </c>
      <c r="L105" s="22" t="s">
        <v>21</v>
      </c>
      <c r="M105" s="47" t="s">
        <v>699</v>
      </c>
      <c r="N105" s="41"/>
    </row>
    <row r="106" spans="1:15" s="42" customFormat="1" ht="52.5" customHeight="1" x14ac:dyDescent="0.35">
      <c r="A106" s="22">
        <f t="shared" si="1"/>
        <v>102</v>
      </c>
      <c r="B106" s="34" t="s">
        <v>264</v>
      </c>
      <c r="C106" s="51" t="s">
        <v>21</v>
      </c>
      <c r="D106" s="52" t="s">
        <v>3</v>
      </c>
      <c r="E106" s="52" t="s">
        <v>3</v>
      </c>
      <c r="F106" s="52" t="s">
        <v>139</v>
      </c>
      <c r="G106" s="29">
        <v>-4.2795721103508697</v>
      </c>
      <c r="H106" s="32">
        <v>-75.259698471235097</v>
      </c>
      <c r="I106" s="32" t="s">
        <v>689</v>
      </c>
      <c r="J106" s="22">
        <v>129</v>
      </c>
      <c r="K106" s="54" t="s">
        <v>21</v>
      </c>
      <c r="L106" s="22" t="s">
        <v>21</v>
      </c>
      <c r="M106" s="55" t="s">
        <v>699</v>
      </c>
      <c r="N106" s="41"/>
    </row>
    <row r="107" spans="1:15" s="42" customFormat="1" ht="55" customHeight="1" x14ac:dyDescent="0.35">
      <c r="A107" s="22">
        <f t="shared" si="1"/>
        <v>103</v>
      </c>
      <c r="B107" s="36" t="s">
        <v>265</v>
      </c>
      <c r="C107" s="43" t="s">
        <v>21</v>
      </c>
      <c r="D107" s="37" t="s">
        <v>3</v>
      </c>
      <c r="E107" s="37" t="s">
        <v>3</v>
      </c>
      <c r="F107" s="37" t="s">
        <v>139</v>
      </c>
      <c r="G107" s="28">
        <v>-4.2795399093377604</v>
      </c>
      <c r="H107" s="28">
        <v>-75.274198138751899</v>
      </c>
      <c r="I107" s="28" t="s">
        <v>689</v>
      </c>
      <c r="J107" s="45">
        <v>136</v>
      </c>
      <c r="K107" s="46" t="s">
        <v>21</v>
      </c>
      <c r="L107" s="22" t="s">
        <v>21</v>
      </c>
      <c r="M107" s="47" t="s">
        <v>699</v>
      </c>
      <c r="N107" s="41"/>
    </row>
    <row r="108" spans="1:15" s="42" customFormat="1" ht="61" customHeight="1" x14ac:dyDescent="0.35">
      <c r="A108" s="22">
        <f t="shared" si="1"/>
        <v>104</v>
      </c>
      <c r="B108" s="36" t="s">
        <v>266</v>
      </c>
      <c r="C108" s="43" t="s">
        <v>21</v>
      </c>
      <c r="D108" s="37" t="s">
        <v>3</v>
      </c>
      <c r="E108" s="37" t="s">
        <v>3</v>
      </c>
      <c r="F108" s="37" t="s">
        <v>139</v>
      </c>
      <c r="G108" s="30">
        <v>-4.2783416073809599</v>
      </c>
      <c r="H108" s="28">
        <v>-75.285507251758403</v>
      </c>
      <c r="I108" s="28" t="s">
        <v>689</v>
      </c>
      <c r="J108" s="45">
        <v>136</v>
      </c>
      <c r="K108" s="46" t="s">
        <v>21</v>
      </c>
      <c r="L108" s="22" t="s">
        <v>21</v>
      </c>
      <c r="M108" s="47" t="s">
        <v>699</v>
      </c>
      <c r="N108" s="41"/>
    </row>
    <row r="109" spans="1:15" s="42" customFormat="1" ht="54" customHeight="1" x14ac:dyDescent="0.35">
      <c r="A109" s="22">
        <f t="shared" si="1"/>
        <v>105</v>
      </c>
      <c r="B109" s="36" t="s">
        <v>267</v>
      </c>
      <c r="C109" s="43" t="s">
        <v>21</v>
      </c>
      <c r="D109" s="37" t="s">
        <v>3</v>
      </c>
      <c r="E109" s="37" t="s">
        <v>3</v>
      </c>
      <c r="F109" s="37" t="s">
        <v>139</v>
      </c>
      <c r="G109" s="28">
        <v>-4.2646131550978499</v>
      </c>
      <c r="H109" s="28">
        <v>-75.246617834415204</v>
      </c>
      <c r="I109" s="28" t="s">
        <v>689</v>
      </c>
      <c r="J109" s="45">
        <v>136</v>
      </c>
      <c r="K109" s="46" t="s">
        <v>21</v>
      </c>
      <c r="L109" s="22" t="s">
        <v>21</v>
      </c>
      <c r="M109" s="47" t="s">
        <v>699</v>
      </c>
      <c r="N109" s="41"/>
    </row>
    <row r="110" spans="1:15" s="42" customFormat="1" ht="57" customHeight="1" x14ac:dyDescent="0.35">
      <c r="A110" s="22">
        <f t="shared" si="1"/>
        <v>106</v>
      </c>
      <c r="B110" s="50" t="s">
        <v>268</v>
      </c>
      <c r="C110" s="43" t="s">
        <v>21</v>
      </c>
      <c r="D110" s="37" t="s">
        <v>3</v>
      </c>
      <c r="E110" s="37" t="s">
        <v>3</v>
      </c>
      <c r="F110" s="37" t="s">
        <v>139</v>
      </c>
      <c r="G110" s="28">
        <v>-3.9079171523820802</v>
      </c>
      <c r="H110" s="28">
        <v>-75.662905012334605</v>
      </c>
      <c r="I110" s="28" t="s">
        <v>689</v>
      </c>
      <c r="J110" s="45">
        <v>158</v>
      </c>
      <c r="K110" s="46" t="s">
        <v>21</v>
      </c>
      <c r="L110" s="45" t="s">
        <v>21</v>
      </c>
      <c r="M110" s="47" t="s">
        <v>699</v>
      </c>
      <c r="N110" s="41"/>
      <c r="O110" s="62"/>
    </row>
    <row r="111" spans="1:15" s="42" customFormat="1" ht="55.5" customHeight="1" x14ac:dyDescent="0.35">
      <c r="A111" s="45">
        <f t="shared" si="1"/>
        <v>107</v>
      </c>
      <c r="B111" s="36" t="s">
        <v>269</v>
      </c>
      <c r="C111" s="43" t="s">
        <v>21</v>
      </c>
      <c r="D111" s="37" t="s">
        <v>3</v>
      </c>
      <c r="E111" s="37" t="s">
        <v>3</v>
      </c>
      <c r="F111" s="37" t="s">
        <v>139</v>
      </c>
      <c r="G111" s="28">
        <v>-3.9307237984010999</v>
      </c>
      <c r="H111" s="28">
        <v>-75.661697992608495</v>
      </c>
      <c r="I111" s="28" t="s">
        <v>689</v>
      </c>
      <c r="J111" s="45">
        <v>158</v>
      </c>
      <c r="K111" s="46" t="s">
        <v>21</v>
      </c>
      <c r="L111" s="22" t="s">
        <v>21</v>
      </c>
      <c r="M111" s="47" t="s">
        <v>699</v>
      </c>
      <c r="N111" s="41"/>
      <c r="O111" s="62"/>
    </row>
    <row r="112" spans="1:15" s="42" customFormat="1" ht="57.5" customHeight="1" x14ac:dyDescent="0.35">
      <c r="A112" s="22">
        <f t="shared" si="1"/>
        <v>108</v>
      </c>
      <c r="B112" s="36" t="s">
        <v>270</v>
      </c>
      <c r="C112" s="43" t="s">
        <v>21</v>
      </c>
      <c r="D112" s="37" t="s">
        <v>3</v>
      </c>
      <c r="E112" s="37" t="s">
        <v>3</v>
      </c>
      <c r="F112" s="37" t="s">
        <v>139</v>
      </c>
      <c r="G112" s="28">
        <v>-3.9612629499911201</v>
      </c>
      <c r="H112" s="28">
        <v>-75.663064281667204</v>
      </c>
      <c r="I112" s="28" t="s">
        <v>689</v>
      </c>
      <c r="J112" s="45">
        <v>156</v>
      </c>
      <c r="K112" s="46" t="s">
        <v>21</v>
      </c>
      <c r="L112" s="22" t="s">
        <v>21</v>
      </c>
      <c r="M112" s="47" t="s">
        <v>700</v>
      </c>
      <c r="N112" s="41"/>
      <c r="O112" s="62"/>
    </row>
    <row r="113" spans="1:15" s="42" customFormat="1" ht="54" customHeight="1" x14ac:dyDescent="0.35">
      <c r="A113" s="22">
        <f t="shared" si="1"/>
        <v>109</v>
      </c>
      <c r="B113" s="36" t="s">
        <v>271</v>
      </c>
      <c r="C113" s="43" t="s">
        <v>21</v>
      </c>
      <c r="D113" s="37" t="s">
        <v>3</v>
      </c>
      <c r="E113" s="37" t="s">
        <v>3</v>
      </c>
      <c r="F113" s="37" t="s">
        <v>139</v>
      </c>
      <c r="G113" s="30">
        <v>-3.9772990854135699</v>
      </c>
      <c r="H113" s="30">
        <v>-75.760503320554406</v>
      </c>
      <c r="I113" s="30" t="s">
        <v>689</v>
      </c>
      <c r="J113" s="45">
        <v>165</v>
      </c>
      <c r="K113" s="46" t="s">
        <v>21</v>
      </c>
      <c r="L113" s="22" t="s">
        <v>21</v>
      </c>
      <c r="M113" s="47" t="s">
        <v>699</v>
      </c>
      <c r="N113" s="41"/>
    </row>
    <row r="114" spans="1:15" s="42" customFormat="1" ht="57.5" customHeight="1" x14ac:dyDescent="0.35">
      <c r="A114" s="22">
        <f t="shared" si="1"/>
        <v>110</v>
      </c>
      <c r="B114" s="36" t="s">
        <v>272</v>
      </c>
      <c r="C114" s="43" t="s">
        <v>21</v>
      </c>
      <c r="D114" s="37" t="s">
        <v>3</v>
      </c>
      <c r="E114" s="37" t="s">
        <v>3</v>
      </c>
      <c r="F114" s="37" t="s">
        <v>139</v>
      </c>
      <c r="G114" s="28">
        <v>-4.3527996875134898</v>
      </c>
      <c r="H114" s="28">
        <v>-75.341403153158893</v>
      </c>
      <c r="I114" s="28" t="s">
        <v>689</v>
      </c>
      <c r="J114" s="45">
        <v>136</v>
      </c>
      <c r="K114" s="46" t="s">
        <v>21</v>
      </c>
      <c r="L114" s="22" t="s">
        <v>21</v>
      </c>
      <c r="M114" s="47" t="s">
        <v>699</v>
      </c>
      <c r="N114" s="41"/>
    </row>
    <row r="115" spans="1:15" s="42" customFormat="1" ht="57" customHeight="1" x14ac:dyDescent="0.35">
      <c r="A115" s="22">
        <f t="shared" si="1"/>
        <v>111</v>
      </c>
      <c r="B115" s="36" t="s">
        <v>273</v>
      </c>
      <c r="C115" s="43" t="s">
        <v>21</v>
      </c>
      <c r="D115" s="37" t="s">
        <v>3</v>
      </c>
      <c r="E115" s="37" t="s">
        <v>3</v>
      </c>
      <c r="F115" s="37" t="s">
        <v>139</v>
      </c>
      <c r="G115" s="28">
        <v>-4.3623016389672298</v>
      </c>
      <c r="H115" s="30">
        <v>-75.334765206487603</v>
      </c>
      <c r="I115" s="30" t="s">
        <v>689</v>
      </c>
      <c r="J115" s="45">
        <v>134</v>
      </c>
      <c r="K115" s="46" t="s">
        <v>21</v>
      </c>
      <c r="L115" s="22" t="s">
        <v>21</v>
      </c>
      <c r="M115" s="47" t="s">
        <v>699</v>
      </c>
      <c r="N115" s="41"/>
    </row>
    <row r="116" spans="1:15" s="42" customFormat="1" ht="57" customHeight="1" x14ac:dyDescent="0.35">
      <c r="A116" s="22">
        <f t="shared" si="1"/>
        <v>112</v>
      </c>
      <c r="B116" s="36" t="s">
        <v>274</v>
      </c>
      <c r="C116" s="43" t="s">
        <v>21</v>
      </c>
      <c r="D116" s="37" t="s">
        <v>3</v>
      </c>
      <c r="E116" s="37" t="s">
        <v>3</v>
      </c>
      <c r="F116" s="37" t="s">
        <v>139</v>
      </c>
      <c r="G116" s="30">
        <v>-4.3760672871372899</v>
      </c>
      <c r="H116" s="30">
        <v>-75.321729933599102</v>
      </c>
      <c r="I116" s="30" t="s">
        <v>689</v>
      </c>
      <c r="J116" s="45">
        <v>139</v>
      </c>
      <c r="K116" s="46" t="s">
        <v>21</v>
      </c>
      <c r="L116" s="22" t="s">
        <v>21</v>
      </c>
      <c r="M116" s="47" t="s">
        <v>699</v>
      </c>
      <c r="N116" s="41"/>
    </row>
    <row r="117" spans="1:15" s="42" customFormat="1" ht="57.5" customHeight="1" x14ac:dyDescent="0.35">
      <c r="A117" s="22">
        <f t="shared" si="1"/>
        <v>113</v>
      </c>
      <c r="B117" s="36" t="s">
        <v>275</v>
      </c>
      <c r="C117" s="43" t="s">
        <v>21</v>
      </c>
      <c r="D117" s="37" t="s">
        <v>3</v>
      </c>
      <c r="E117" s="37" t="s">
        <v>3</v>
      </c>
      <c r="F117" s="37" t="s">
        <v>139</v>
      </c>
      <c r="G117" s="30">
        <v>-4.0208792479727897</v>
      </c>
      <c r="H117" s="30">
        <v>-75.314350593561997</v>
      </c>
      <c r="I117" s="30" t="s">
        <v>689</v>
      </c>
      <c r="J117" s="45">
        <v>146</v>
      </c>
      <c r="K117" s="46" t="s">
        <v>21</v>
      </c>
      <c r="L117" s="22" t="s">
        <v>21</v>
      </c>
      <c r="M117" s="47" t="s">
        <v>699</v>
      </c>
      <c r="N117" s="41"/>
    </row>
    <row r="118" spans="1:15" s="42" customFormat="1" ht="57" customHeight="1" x14ac:dyDescent="0.35">
      <c r="A118" s="22">
        <f t="shared" si="1"/>
        <v>114</v>
      </c>
      <c r="B118" s="36" t="s">
        <v>276</v>
      </c>
      <c r="C118" s="43" t="s">
        <v>21</v>
      </c>
      <c r="D118" s="37" t="s">
        <v>3</v>
      </c>
      <c r="E118" s="37" t="s">
        <v>3</v>
      </c>
      <c r="F118" s="37" t="s">
        <v>139</v>
      </c>
      <c r="G118" s="28">
        <v>-4.2393584643115396</v>
      </c>
      <c r="H118" s="28">
        <v>-75.234480785847396</v>
      </c>
      <c r="I118" s="28" t="s">
        <v>689</v>
      </c>
      <c r="J118" s="45">
        <v>129</v>
      </c>
      <c r="K118" s="46" t="s">
        <v>21</v>
      </c>
      <c r="L118" s="22" t="s">
        <v>21</v>
      </c>
      <c r="M118" s="47" t="s">
        <v>699</v>
      </c>
      <c r="N118" s="41"/>
    </row>
    <row r="119" spans="1:15" s="42" customFormat="1" ht="61" customHeight="1" x14ac:dyDescent="0.35">
      <c r="A119" s="22">
        <f t="shared" si="1"/>
        <v>115</v>
      </c>
      <c r="B119" s="36" t="s">
        <v>277</v>
      </c>
      <c r="C119" s="43" t="s">
        <v>21</v>
      </c>
      <c r="D119" s="37" t="s">
        <v>3</v>
      </c>
      <c r="E119" s="37" t="s">
        <v>3</v>
      </c>
      <c r="F119" s="37" t="s">
        <v>139</v>
      </c>
      <c r="G119" s="30">
        <v>-4.2341623901982102</v>
      </c>
      <c r="H119" s="28">
        <v>-75.244941107951007</v>
      </c>
      <c r="I119" s="28" t="s">
        <v>689</v>
      </c>
      <c r="J119" s="45">
        <v>136</v>
      </c>
      <c r="K119" s="46" t="s">
        <v>21</v>
      </c>
      <c r="L119" s="22" t="s">
        <v>21</v>
      </c>
      <c r="M119" s="47" t="s">
        <v>699</v>
      </c>
      <c r="N119" s="41"/>
      <c r="O119" s="62"/>
    </row>
    <row r="120" spans="1:15" s="42" customFormat="1" ht="60" customHeight="1" x14ac:dyDescent="0.35">
      <c r="A120" s="22">
        <f t="shared" si="1"/>
        <v>116</v>
      </c>
      <c r="B120" s="36" t="s">
        <v>278</v>
      </c>
      <c r="C120" s="43" t="s">
        <v>21</v>
      </c>
      <c r="D120" s="37" t="s">
        <v>3</v>
      </c>
      <c r="E120" s="37" t="s">
        <v>3</v>
      </c>
      <c r="F120" s="37" t="s">
        <v>139</v>
      </c>
      <c r="G120" s="28">
        <v>-4.2316974116611901</v>
      </c>
      <c r="H120" s="30">
        <v>-75.258060441539897</v>
      </c>
      <c r="I120" s="30" t="s">
        <v>689</v>
      </c>
      <c r="J120" s="45">
        <v>131</v>
      </c>
      <c r="K120" s="46" t="s">
        <v>21</v>
      </c>
      <c r="L120" s="22" t="s">
        <v>21</v>
      </c>
      <c r="M120" s="47" t="s">
        <v>699</v>
      </c>
      <c r="N120" s="41"/>
      <c r="O120" s="62"/>
    </row>
    <row r="121" spans="1:15" s="42" customFormat="1" ht="45" customHeight="1" x14ac:dyDescent="0.35">
      <c r="A121" s="22">
        <f t="shared" si="1"/>
        <v>117</v>
      </c>
      <c r="B121" s="36" t="s">
        <v>279</v>
      </c>
      <c r="C121" s="43" t="s">
        <v>21</v>
      </c>
      <c r="D121" s="37" t="s">
        <v>3</v>
      </c>
      <c r="E121" s="37" t="s">
        <v>3</v>
      </c>
      <c r="F121" s="37" t="s">
        <v>139</v>
      </c>
      <c r="G121" s="28">
        <v>-4.4663731347015299</v>
      </c>
      <c r="H121" s="30">
        <v>-75.143024015447295</v>
      </c>
      <c r="I121" s="30" t="s">
        <v>689</v>
      </c>
      <c r="J121" s="48">
        <v>126</v>
      </c>
      <c r="K121" s="44" t="s">
        <v>21</v>
      </c>
      <c r="L121" s="22" t="s">
        <v>21</v>
      </c>
      <c r="M121" s="66" t="s">
        <v>692</v>
      </c>
      <c r="N121" s="41"/>
      <c r="O121" s="62"/>
    </row>
    <row r="122" spans="1:15" s="42" customFormat="1" ht="42.5" customHeight="1" x14ac:dyDescent="0.35">
      <c r="A122" s="22">
        <f t="shared" si="1"/>
        <v>118</v>
      </c>
      <c r="B122" s="36" t="s">
        <v>280</v>
      </c>
      <c r="C122" s="43" t="s">
        <v>21</v>
      </c>
      <c r="D122" s="37" t="s">
        <v>3</v>
      </c>
      <c r="E122" s="37" t="s">
        <v>3</v>
      </c>
      <c r="F122" s="37" t="s">
        <v>139</v>
      </c>
      <c r="G122" s="30">
        <v>-4.3911933964482399</v>
      </c>
      <c r="H122" s="28">
        <v>-75.321438976237303</v>
      </c>
      <c r="I122" s="28" t="s">
        <v>689</v>
      </c>
      <c r="J122" s="45">
        <v>129</v>
      </c>
      <c r="K122" s="46" t="s">
        <v>21</v>
      </c>
      <c r="L122" s="22" t="s">
        <v>21</v>
      </c>
      <c r="M122" s="66" t="s">
        <v>692</v>
      </c>
      <c r="N122" s="41"/>
    </row>
    <row r="123" spans="1:15" s="42" customFormat="1" ht="48.5" customHeight="1" x14ac:dyDescent="0.35">
      <c r="A123" s="22">
        <f t="shared" si="1"/>
        <v>119</v>
      </c>
      <c r="B123" s="36" t="s">
        <v>281</v>
      </c>
      <c r="C123" s="43" t="s">
        <v>21</v>
      </c>
      <c r="D123" s="37" t="s">
        <v>3</v>
      </c>
      <c r="E123" s="37" t="s">
        <v>3</v>
      </c>
      <c r="F123" s="37" t="s">
        <v>139</v>
      </c>
      <c r="G123" s="30">
        <v>-4.2733620733997197</v>
      </c>
      <c r="H123" s="28">
        <v>-74.934701714849993</v>
      </c>
      <c r="I123" s="28" t="s">
        <v>689</v>
      </c>
      <c r="J123" s="45">
        <v>114</v>
      </c>
      <c r="K123" s="46" t="s">
        <v>21</v>
      </c>
      <c r="L123" s="22" t="s">
        <v>21</v>
      </c>
      <c r="M123" s="66" t="s">
        <v>692</v>
      </c>
      <c r="N123" s="41"/>
    </row>
    <row r="124" spans="1:15" s="42" customFormat="1" ht="60.5" customHeight="1" x14ac:dyDescent="0.35">
      <c r="A124" s="22">
        <f t="shared" si="1"/>
        <v>120</v>
      </c>
      <c r="B124" s="36" t="s">
        <v>283</v>
      </c>
      <c r="C124" s="43" t="s">
        <v>282</v>
      </c>
      <c r="D124" s="37" t="s">
        <v>3</v>
      </c>
      <c r="E124" s="37" t="s">
        <v>3</v>
      </c>
      <c r="F124" s="37" t="s">
        <v>139</v>
      </c>
      <c r="G124" s="30">
        <v>-4.1488208155506303</v>
      </c>
      <c r="H124" s="30">
        <v>-75.456524069240203</v>
      </c>
      <c r="I124" s="30" t="s">
        <v>688</v>
      </c>
      <c r="J124" s="45">
        <v>137</v>
      </c>
      <c r="K124" s="46" t="s">
        <v>21</v>
      </c>
      <c r="L124" s="22" t="s">
        <v>21</v>
      </c>
      <c r="M124" s="47" t="s">
        <v>284</v>
      </c>
      <c r="N124" s="41"/>
    </row>
    <row r="125" spans="1:15" s="42" customFormat="1" ht="59" customHeight="1" x14ac:dyDescent="0.35">
      <c r="A125" s="22">
        <f t="shared" si="1"/>
        <v>121</v>
      </c>
      <c r="B125" s="50" t="s">
        <v>286</v>
      </c>
      <c r="C125" s="43" t="s">
        <v>285</v>
      </c>
      <c r="D125" s="37" t="s">
        <v>3</v>
      </c>
      <c r="E125" s="37" t="s">
        <v>3</v>
      </c>
      <c r="F125" s="37" t="s">
        <v>139</v>
      </c>
      <c r="G125" s="30">
        <v>-4.1445513593980001</v>
      </c>
      <c r="H125" s="30">
        <v>-75.455629642293999</v>
      </c>
      <c r="I125" s="30" t="s">
        <v>688</v>
      </c>
      <c r="J125" s="45">
        <v>140</v>
      </c>
      <c r="K125" s="46" t="s">
        <v>21</v>
      </c>
      <c r="L125" s="22" t="s">
        <v>21</v>
      </c>
      <c r="M125" s="66" t="s">
        <v>284</v>
      </c>
      <c r="N125" s="41"/>
    </row>
    <row r="126" spans="1:15" s="42" customFormat="1" ht="66" customHeight="1" x14ac:dyDescent="0.35">
      <c r="A126" s="45">
        <f t="shared" si="1"/>
        <v>122</v>
      </c>
      <c r="B126" s="50" t="s">
        <v>288</v>
      </c>
      <c r="C126" s="43" t="s">
        <v>287</v>
      </c>
      <c r="D126" s="37" t="s">
        <v>3</v>
      </c>
      <c r="E126" s="37" t="s">
        <v>3</v>
      </c>
      <c r="F126" s="37" t="s">
        <v>139</v>
      </c>
      <c r="G126" s="30">
        <v>-4.1387416181915704</v>
      </c>
      <c r="H126" s="30">
        <v>-75.4588338083894</v>
      </c>
      <c r="I126" s="30" t="s">
        <v>688</v>
      </c>
      <c r="J126" s="45">
        <v>127</v>
      </c>
      <c r="K126" s="46" t="s">
        <v>21</v>
      </c>
      <c r="L126" s="22" t="s">
        <v>21</v>
      </c>
      <c r="M126" s="66" t="s">
        <v>196</v>
      </c>
      <c r="N126" s="41"/>
    </row>
    <row r="127" spans="1:15" s="42" customFormat="1" ht="61" customHeight="1" x14ac:dyDescent="0.35">
      <c r="A127" s="45">
        <f t="shared" si="1"/>
        <v>123</v>
      </c>
      <c r="B127" s="50" t="s">
        <v>290</v>
      </c>
      <c r="C127" s="43" t="s">
        <v>289</v>
      </c>
      <c r="D127" s="37" t="s">
        <v>3</v>
      </c>
      <c r="E127" s="37" t="s">
        <v>3</v>
      </c>
      <c r="F127" s="37" t="s">
        <v>139</v>
      </c>
      <c r="G127" s="30">
        <v>-4.0828048091056601</v>
      </c>
      <c r="H127" s="30">
        <v>-75.534919893005195</v>
      </c>
      <c r="I127" s="30" t="s">
        <v>688</v>
      </c>
      <c r="J127" s="45">
        <v>153</v>
      </c>
      <c r="K127" s="46" t="s">
        <v>21</v>
      </c>
      <c r="L127" s="22" t="s">
        <v>21</v>
      </c>
      <c r="M127" s="66" t="s">
        <v>196</v>
      </c>
      <c r="N127" s="41"/>
      <c r="O127" s="62"/>
    </row>
    <row r="128" spans="1:15" s="42" customFormat="1" ht="63" customHeight="1" x14ac:dyDescent="0.35">
      <c r="A128" s="45">
        <f t="shared" si="1"/>
        <v>124</v>
      </c>
      <c r="B128" s="36" t="s">
        <v>292</v>
      </c>
      <c r="C128" s="43" t="s">
        <v>291</v>
      </c>
      <c r="D128" s="37" t="s">
        <v>3</v>
      </c>
      <c r="E128" s="37" t="s">
        <v>3</v>
      </c>
      <c r="F128" s="37" t="s">
        <v>139</v>
      </c>
      <c r="G128" s="30">
        <v>-4.0776344410580601</v>
      </c>
      <c r="H128" s="30">
        <v>-75.555357882787206</v>
      </c>
      <c r="I128" s="30" t="s">
        <v>688</v>
      </c>
      <c r="J128" s="45">
        <v>147</v>
      </c>
      <c r="K128" s="46" t="s">
        <v>21</v>
      </c>
      <c r="L128" s="22" t="s">
        <v>21</v>
      </c>
      <c r="M128" s="66" t="s">
        <v>196</v>
      </c>
      <c r="N128" s="41"/>
      <c r="O128" s="62"/>
    </row>
    <row r="129" spans="1:15" s="42" customFormat="1" ht="61.5" customHeight="1" x14ac:dyDescent="0.35">
      <c r="A129" s="22">
        <f t="shared" si="1"/>
        <v>125</v>
      </c>
      <c r="B129" s="36" t="s">
        <v>294</v>
      </c>
      <c r="C129" s="43" t="s">
        <v>293</v>
      </c>
      <c r="D129" s="37" t="s">
        <v>3</v>
      </c>
      <c r="E129" s="37" t="s">
        <v>3</v>
      </c>
      <c r="F129" s="37" t="s">
        <v>139</v>
      </c>
      <c r="G129" s="30">
        <v>-4.2305957805696197</v>
      </c>
      <c r="H129" s="30">
        <v>-75.365209915009402</v>
      </c>
      <c r="I129" s="30" t="s">
        <v>688</v>
      </c>
      <c r="J129" s="45">
        <v>134</v>
      </c>
      <c r="K129" s="46" t="s">
        <v>21</v>
      </c>
      <c r="L129" s="22" t="s">
        <v>21</v>
      </c>
      <c r="M129" s="66" t="s">
        <v>196</v>
      </c>
      <c r="N129" s="41"/>
      <c r="O129" s="62"/>
    </row>
    <row r="130" spans="1:15" s="42" customFormat="1" ht="35.5" customHeight="1" x14ac:dyDescent="0.35">
      <c r="A130" s="22">
        <f t="shared" si="1"/>
        <v>126</v>
      </c>
      <c r="B130" s="36" t="s">
        <v>295</v>
      </c>
      <c r="C130" s="43" t="s">
        <v>21</v>
      </c>
      <c r="D130" s="37" t="s">
        <v>3</v>
      </c>
      <c r="E130" s="37" t="s">
        <v>3</v>
      </c>
      <c r="F130" s="37" t="s">
        <v>139</v>
      </c>
      <c r="G130" s="28">
        <v>-4.4539474648709403</v>
      </c>
      <c r="H130" s="28">
        <v>-74.978276773615903</v>
      </c>
      <c r="I130" s="28" t="s">
        <v>689</v>
      </c>
      <c r="J130" s="45">
        <v>110</v>
      </c>
      <c r="K130" s="46" t="s">
        <v>21</v>
      </c>
      <c r="L130" s="22" t="s">
        <v>21</v>
      </c>
      <c r="M130" s="66" t="s">
        <v>692</v>
      </c>
      <c r="N130" s="41"/>
    </row>
    <row r="131" spans="1:15" s="42" customFormat="1" ht="37" customHeight="1" x14ac:dyDescent="0.35">
      <c r="A131" s="22">
        <f t="shared" si="1"/>
        <v>127</v>
      </c>
      <c r="B131" s="36" t="s">
        <v>297</v>
      </c>
      <c r="C131" s="43" t="s">
        <v>296</v>
      </c>
      <c r="D131" s="37" t="s">
        <v>3</v>
      </c>
      <c r="E131" s="37" t="s">
        <v>3</v>
      </c>
      <c r="F131" s="37" t="s">
        <v>139</v>
      </c>
      <c r="G131" s="44">
        <v>-4.1417548234135833</v>
      </c>
      <c r="H131" s="44">
        <v>-76.014550180835855</v>
      </c>
      <c r="I131" s="44" t="s">
        <v>689</v>
      </c>
      <c r="J131" s="45">
        <v>163</v>
      </c>
      <c r="K131" s="46">
        <v>135</v>
      </c>
      <c r="L131" s="22" t="s">
        <v>21</v>
      </c>
      <c r="M131" s="84" t="s">
        <v>745</v>
      </c>
      <c r="N131" s="41"/>
    </row>
    <row r="132" spans="1:15" s="42" customFormat="1" ht="38.5" customHeight="1" x14ac:dyDescent="0.35">
      <c r="A132" s="22">
        <f t="shared" si="1"/>
        <v>128</v>
      </c>
      <c r="B132" s="36" t="s">
        <v>299</v>
      </c>
      <c r="C132" s="43" t="s">
        <v>298</v>
      </c>
      <c r="D132" s="37" t="s">
        <v>3</v>
      </c>
      <c r="E132" s="37" t="s">
        <v>3</v>
      </c>
      <c r="F132" s="37" t="s">
        <v>139</v>
      </c>
      <c r="G132" s="44">
        <v>-4.1413999642164621</v>
      </c>
      <c r="H132" s="44">
        <v>-76.013639578710311</v>
      </c>
      <c r="I132" s="44" t="s">
        <v>689</v>
      </c>
      <c r="J132" s="48">
        <v>164</v>
      </c>
      <c r="K132" s="61">
        <v>146</v>
      </c>
      <c r="L132" s="22" t="s">
        <v>21</v>
      </c>
      <c r="M132" s="47" t="s">
        <v>745</v>
      </c>
      <c r="N132" s="41"/>
    </row>
    <row r="133" spans="1:15" s="42" customFormat="1" ht="42" customHeight="1" x14ac:dyDescent="0.35">
      <c r="A133" s="22">
        <f t="shared" si="1"/>
        <v>129</v>
      </c>
      <c r="B133" s="36" t="s">
        <v>301</v>
      </c>
      <c r="C133" s="43" t="s">
        <v>300</v>
      </c>
      <c r="D133" s="37" t="s">
        <v>3</v>
      </c>
      <c r="E133" s="37" t="s">
        <v>3</v>
      </c>
      <c r="F133" s="37" t="s">
        <v>139</v>
      </c>
      <c r="G133" s="28">
        <v>-4.19088612651767</v>
      </c>
      <c r="H133" s="28">
        <v>-75.979242275554597</v>
      </c>
      <c r="I133" s="28" t="s">
        <v>689</v>
      </c>
      <c r="J133" s="45">
        <v>153</v>
      </c>
      <c r="K133" s="46">
        <v>140</v>
      </c>
      <c r="L133" s="22" t="s">
        <v>21</v>
      </c>
      <c r="M133" s="47" t="s">
        <v>745</v>
      </c>
      <c r="N133" s="41"/>
    </row>
    <row r="134" spans="1:15" s="42" customFormat="1" ht="33" customHeight="1" x14ac:dyDescent="0.35">
      <c r="A134" s="22">
        <f t="shared" ref="A134:A197" si="2">+(A133+1)</f>
        <v>130</v>
      </c>
      <c r="B134" s="36" t="s">
        <v>303</v>
      </c>
      <c r="C134" s="43" t="s">
        <v>302</v>
      </c>
      <c r="D134" s="37" t="s">
        <v>3</v>
      </c>
      <c r="E134" s="37" t="s">
        <v>3</v>
      </c>
      <c r="F134" s="37" t="s">
        <v>139</v>
      </c>
      <c r="G134" s="28">
        <v>-4.1645216828854004</v>
      </c>
      <c r="H134" s="28">
        <v>-75.998236678059698</v>
      </c>
      <c r="I134" s="28" t="s">
        <v>689</v>
      </c>
      <c r="J134" s="45">
        <v>154</v>
      </c>
      <c r="K134" s="46" t="s">
        <v>21</v>
      </c>
      <c r="L134" s="22" t="s">
        <v>21</v>
      </c>
      <c r="M134" s="47" t="s">
        <v>745</v>
      </c>
      <c r="N134" s="41"/>
    </row>
    <row r="135" spans="1:15" s="42" customFormat="1" ht="44" customHeight="1" x14ac:dyDescent="0.35">
      <c r="A135" s="22">
        <f t="shared" si="2"/>
        <v>131</v>
      </c>
      <c r="B135" s="36" t="s">
        <v>305</v>
      </c>
      <c r="C135" s="43" t="s">
        <v>304</v>
      </c>
      <c r="D135" s="37" t="s">
        <v>3</v>
      </c>
      <c r="E135" s="37" t="s">
        <v>3</v>
      </c>
      <c r="F135" s="37" t="s">
        <v>139</v>
      </c>
      <c r="G135" s="28">
        <v>-4.2284558829878804</v>
      </c>
      <c r="H135" s="28">
        <v>-75.932248729998605</v>
      </c>
      <c r="I135" s="28" t="s">
        <v>689</v>
      </c>
      <c r="J135" s="45">
        <v>147</v>
      </c>
      <c r="K135" s="46">
        <v>100</v>
      </c>
      <c r="L135" s="22" t="s">
        <v>21</v>
      </c>
      <c r="M135" s="47" t="s">
        <v>745</v>
      </c>
      <c r="N135" s="41"/>
    </row>
    <row r="136" spans="1:15" s="42" customFormat="1" ht="36.5" customHeight="1" x14ac:dyDescent="0.35">
      <c r="A136" s="22">
        <f t="shared" si="2"/>
        <v>132</v>
      </c>
      <c r="B136" s="36" t="s">
        <v>719</v>
      </c>
      <c r="C136" s="43" t="s">
        <v>306</v>
      </c>
      <c r="D136" s="37" t="s">
        <v>3</v>
      </c>
      <c r="E136" s="37" t="s">
        <v>3</v>
      </c>
      <c r="F136" s="37" t="s">
        <v>139</v>
      </c>
      <c r="G136" s="28">
        <v>-4.22823915716753</v>
      </c>
      <c r="H136" s="28">
        <v>-75.931942133632603</v>
      </c>
      <c r="I136" s="28" t="s">
        <v>689</v>
      </c>
      <c r="J136" s="45">
        <v>145</v>
      </c>
      <c r="K136" s="46">
        <v>102</v>
      </c>
      <c r="L136" s="22" t="s">
        <v>21</v>
      </c>
      <c r="M136" s="47" t="s">
        <v>727</v>
      </c>
      <c r="N136" s="41"/>
    </row>
    <row r="137" spans="1:15" s="42" customFormat="1" ht="40" customHeight="1" x14ac:dyDescent="0.35">
      <c r="A137" s="22">
        <f t="shared" si="2"/>
        <v>133</v>
      </c>
      <c r="B137" s="36" t="s">
        <v>308</v>
      </c>
      <c r="C137" s="43" t="s">
        <v>307</v>
      </c>
      <c r="D137" s="37" t="s">
        <v>3</v>
      </c>
      <c r="E137" s="37" t="s">
        <v>3</v>
      </c>
      <c r="F137" s="37" t="s">
        <v>139</v>
      </c>
      <c r="G137" s="28">
        <v>-4.2276164623148</v>
      </c>
      <c r="H137" s="28">
        <v>-75.930734060878606</v>
      </c>
      <c r="I137" s="28" t="s">
        <v>689</v>
      </c>
      <c r="J137" s="45">
        <v>141</v>
      </c>
      <c r="K137" s="46">
        <v>110</v>
      </c>
      <c r="L137" s="22" t="s">
        <v>21</v>
      </c>
      <c r="M137" s="47" t="s">
        <v>745</v>
      </c>
      <c r="N137" s="41"/>
    </row>
    <row r="138" spans="1:15" s="42" customFormat="1" ht="40.5" customHeight="1" x14ac:dyDescent="0.35">
      <c r="A138" s="22">
        <f t="shared" si="2"/>
        <v>134</v>
      </c>
      <c r="B138" s="71" t="s">
        <v>310</v>
      </c>
      <c r="C138" s="43" t="s">
        <v>309</v>
      </c>
      <c r="D138" s="60" t="s">
        <v>3</v>
      </c>
      <c r="E138" s="60" t="s">
        <v>3</v>
      </c>
      <c r="F138" s="60" t="s">
        <v>139</v>
      </c>
      <c r="G138" s="28">
        <v>-4.2278585685561101</v>
      </c>
      <c r="H138" s="28">
        <v>-75.932500293903402</v>
      </c>
      <c r="I138" s="28" t="s">
        <v>689</v>
      </c>
      <c r="J138" s="48">
        <v>149</v>
      </c>
      <c r="K138" s="44" t="s">
        <v>21</v>
      </c>
      <c r="L138" s="22" t="s">
        <v>21</v>
      </c>
      <c r="M138" s="47" t="s">
        <v>745</v>
      </c>
      <c r="N138" s="41"/>
    </row>
    <row r="139" spans="1:15" s="42" customFormat="1" ht="45" customHeight="1" x14ac:dyDescent="0.35">
      <c r="A139" s="22">
        <f t="shared" si="2"/>
        <v>135</v>
      </c>
      <c r="B139" s="36" t="s">
        <v>526</v>
      </c>
      <c r="C139" s="45" t="s">
        <v>525</v>
      </c>
      <c r="D139" s="37" t="s">
        <v>3</v>
      </c>
      <c r="E139" s="37" t="s">
        <v>116</v>
      </c>
      <c r="F139" s="37" t="s">
        <v>527</v>
      </c>
      <c r="G139" s="28">
        <v>-5.4496360566020101</v>
      </c>
      <c r="H139" s="28">
        <v>-75.8168781959847</v>
      </c>
      <c r="I139" s="28" t="s">
        <v>689</v>
      </c>
      <c r="J139" s="45">
        <v>126</v>
      </c>
      <c r="K139" s="46" t="s">
        <v>21</v>
      </c>
      <c r="L139" s="22" t="s">
        <v>21</v>
      </c>
      <c r="M139" s="47" t="s">
        <v>746</v>
      </c>
      <c r="N139" s="41"/>
    </row>
    <row r="140" spans="1:15" s="42" customFormat="1" ht="48.75" customHeight="1" x14ac:dyDescent="0.35">
      <c r="A140" s="22">
        <f t="shared" si="2"/>
        <v>136</v>
      </c>
      <c r="B140" s="36" t="s">
        <v>529</v>
      </c>
      <c r="C140" s="45" t="s">
        <v>528</v>
      </c>
      <c r="D140" s="37" t="s">
        <v>3</v>
      </c>
      <c r="E140" s="37" t="s">
        <v>116</v>
      </c>
      <c r="F140" s="37" t="s">
        <v>527</v>
      </c>
      <c r="G140" s="28">
        <v>-5.4484109462923804</v>
      </c>
      <c r="H140" s="28">
        <v>-75.832970497368095</v>
      </c>
      <c r="I140" s="28" t="s">
        <v>689</v>
      </c>
      <c r="J140" s="45">
        <v>129</v>
      </c>
      <c r="K140" s="46" t="s">
        <v>21</v>
      </c>
      <c r="L140" s="22" t="s">
        <v>21</v>
      </c>
      <c r="M140" s="47" t="s">
        <v>746</v>
      </c>
      <c r="N140" s="41"/>
      <c r="O140" s="62"/>
    </row>
    <row r="141" spans="1:15" s="42" customFormat="1" ht="43" customHeight="1" x14ac:dyDescent="0.35">
      <c r="A141" s="22">
        <f t="shared" si="2"/>
        <v>137</v>
      </c>
      <c r="B141" s="59" t="s">
        <v>530</v>
      </c>
      <c r="C141" s="45" t="s">
        <v>530</v>
      </c>
      <c r="D141" s="60" t="s">
        <v>3</v>
      </c>
      <c r="E141" s="60" t="s">
        <v>116</v>
      </c>
      <c r="F141" s="60" t="s">
        <v>527</v>
      </c>
      <c r="G141" s="28">
        <v>-5.4581729970942803</v>
      </c>
      <c r="H141" s="28">
        <v>-75.818415218720006</v>
      </c>
      <c r="I141" s="28" t="s">
        <v>689</v>
      </c>
      <c r="J141" s="45">
        <v>130</v>
      </c>
      <c r="K141" s="46" t="s">
        <v>21</v>
      </c>
      <c r="L141" s="22" t="s">
        <v>21</v>
      </c>
      <c r="M141" s="47" t="s">
        <v>747</v>
      </c>
      <c r="N141" s="41"/>
    </row>
    <row r="142" spans="1:15" s="42" customFormat="1" ht="87.5" customHeight="1" x14ac:dyDescent="0.35">
      <c r="A142" s="34">
        <f t="shared" si="2"/>
        <v>138</v>
      </c>
      <c r="B142" s="72" t="s">
        <v>531</v>
      </c>
      <c r="C142" s="34" t="s">
        <v>21</v>
      </c>
      <c r="D142" s="52" t="s">
        <v>3</v>
      </c>
      <c r="E142" s="52" t="s">
        <v>116</v>
      </c>
      <c r="F142" s="52" t="s">
        <v>532</v>
      </c>
      <c r="G142" s="29">
        <v>-5.8944332880251702</v>
      </c>
      <c r="H142" s="29">
        <v>-76.187804496476303</v>
      </c>
      <c r="I142" s="29" t="s">
        <v>688</v>
      </c>
      <c r="J142" s="73">
        <v>150</v>
      </c>
      <c r="K142" s="74" t="s">
        <v>21</v>
      </c>
      <c r="L142" s="22" t="s">
        <v>21</v>
      </c>
      <c r="M142" s="55" t="s">
        <v>728</v>
      </c>
      <c r="N142" s="41"/>
    </row>
    <row r="143" spans="1:15" s="42" customFormat="1" ht="89" customHeight="1" x14ac:dyDescent="0.35">
      <c r="A143" s="34">
        <f t="shared" si="2"/>
        <v>139</v>
      </c>
      <c r="B143" s="72" t="s">
        <v>533</v>
      </c>
      <c r="C143" s="34" t="s">
        <v>21</v>
      </c>
      <c r="D143" s="52" t="s">
        <v>3</v>
      </c>
      <c r="E143" s="52" t="s">
        <v>116</v>
      </c>
      <c r="F143" s="52" t="s">
        <v>532</v>
      </c>
      <c r="G143" s="29">
        <v>-5.8970577228319199</v>
      </c>
      <c r="H143" s="29">
        <v>-76.152637985334906</v>
      </c>
      <c r="I143" s="29" t="s">
        <v>688</v>
      </c>
      <c r="J143" s="73">
        <v>136</v>
      </c>
      <c r="K143" s="74" t="s">
        <v>21</v>
      </c>
      <c r="L143" s="22" t="s">
        <v>21</v>
      </c>
      <c r="M143" s="55" t="s">
        <v>728</v>
      </c>
      <c r="N143" s="41"/>
    </row>
    <row r="144" spans="1:15" s="42" customFormat="1" ht="57" customHeight="1" x14ac:dyDescent="0.35">
      <c r="A144" s="22">
        <f t="shared" si="2"/>
        <v>140</v>
      </c>
      <c r="B144" s="59" t="s">
        <v>535</v>
      </c>
      <c r="C144" s="45" t="s">
        <v>534</v>
      </c>
      <c r="D144" s="60" t="s">
        <v>3</v>
      </c>
      <c r="E144" s="60" t="s">
        <v>116</v>
      </c>
      <c r="F144" s="60" t="s">
        <v>532</v>
      </c>
      <c r="G144" s="44">
        <v>-5.8934756350419732</v>
      </c>
      <c r="H144" s="44">
        <v>-76.233126001658164</v>
      </c>
      <c r="I144" s="44" t="s">
        <v>689</v>
      </c>
      <c r="J144" s="45">
        <v>145</v>
      </c>
      <c r="K144" s="46" t="s">
        <v>21</v>
      </c>
      <c r="L144" s="22" t="s">
        <v>21</v>
      </c>
      <c r="M144" s="47" t="s">
        <v>748</v>
      </c>
      <c r="N144" s="41"/>
    </row>
    <row r="145" spans="1:14" s="62" customFormat="1" ht="150" customHeight="1" x14ac:dyDescent="0.35">
      <c r="A145" s="22">
        <f t="shared" si="2"/>
        <v>141</v>
      </c>
      <c r="B145" s="75" t="s">
        <v>537</v>
      </c>
      <c r="C145" s="22" t="s">
        <v>536</v>
      </c>
      <c r="D145" s="52" t="s">
        <v>3</v>
      </c>
      <c r="E145" s="52" t="s">
        <v>116</v>
      </c>
      <c r="F145" s="52" t="s">
        <v>538</v>
      </c>
      <c r="G145" s="53">
        <v>-5.8290423555152318</v>
      </c>
      <c r="H145" s="51">
        <v>-76.558569851597767</v>
      </c>
      <c r="I145" s="51" t="s">
        <v>689</v>
      </c>
      <c r="J145" s="22">
        <v>204</v>
      </c>
      <c r="K145" s="54">
        <v>208</v>
      </c>
      <c r="L145" s="22" t="s">
        <v>21</v>
      </c>
      <c r="M145" s="55" t="s">
        <v>749</v>
      </c>
      <c r="N145" s="41"/>
    </row>
    <row r="146" spans="1:14" s="62" customFormat="1" ht="144" customHeight="1" x14ac:dyDescent="0.35">
      <c r="A146" s="22">
        <f t="shared" si="2"/>
        <v>142</v>
      </c>
      <c r="B146" s="70" t="s">
        <v>540</v>
      </c>
      <c r="C146" s="22" t="s">
        <v>539</v>
      </c>
      <c r="D146" s="52" t="s">
        <v>3</v>
      </c>
      <c r="E146" s="52" t="s">
        <v>116</v>
      </c>
      <c r="F146" s="52" t="s">
        <v>538</v>
      </c>
      <c r="G146" s="53">
        <v>-5.8413028073839071</v>
      </c>
      <c r="H146" s="51">
        <v>-76.562531784612617</v>
      </c>
      <c r="I146" s="51" t="s">
        <v>689</v>
      </c>
      <c r="J146" s="22">
        <v>193</v>
      </c>
      <c r="K146" s="54">
        <v>218</v>
      </c>
      <c r="L146" s="22" t="s">
        <v>21</v>
      </c>
      <c r="M146" s="55" t="s">
        <v>749</v>
      </c>
      <c r="N146" s="41"/>
    </row>
    <row r="147" spans="1:14" s="62" customFormat="1" ht="103.5" customHeight="1" x14ac:dyDescent="0.35">
      <c r="A147" s="22">
        <f t="shared" si="2"/>
        <v>143</v>
      </c>
      <c r="B147" s="50" t="s">
        <v>542</v>
      </c>
      <c r="C147" s="22" t="s">
        <v>541</v>
      </c>
      <c r="D147" s="76" t="s">
        <v>3</v>
      </c>
      <c r="E147" s="52" t="s">
        <v>116</v>
      </c>
      <c r="F147" s="52" t="s">
        <v>538</v>
      </c>
      <c r="G147" s="53">
        <v>-5.8436012074550527</v>
      </c>
      <c r="H147" s="53">
        <v>-76.56200538355084</v>
      </c>
      <c r="I147" s="53" t="s">
        <v>689</v>
      </c>
      <c r="J147" s="22">
        <v>202</v>
      </c>
      <c r="K147" s="54" t="s">
        <v>21</v>
      </c>
      <c r="L147" s="22" t="s">
        <v>21</v>
      </c>
      <c r="M147" s="55" t="s">
        <v>714</v>
      </c>
      <c r="N147" s="41"/>
    </row>
    <row r="148" spans="1:14" s="62" customFormat="1" ht="97.5" customHeight="1" x14ac:dyDescent="0.35">
      <c r="A148" s="22">
        <f t="shared" si="2"/>
        <v>144</v>
      </c>
      <c r="B148" s="70" t="s">
        <v>544</v>
      </c>
      <c r="C148" s="22" t="s">
        <v>543</v>
      </c>
      <c r="D148" s="76" t="s">
        <v>3</v>
      </c>
      <c r="E148" s="52" t="s">
        <v>116</v>
      </c>
      <c r="F148" s="52" t="s">
        <v>538</v>
      </c>
      <c r="G148" s="77">
        <v>-5.8314314023996143</v>
      </c>
      <c r="H148" s="77">
        <v>-76.55141573221394</v>
      </c>
      <c r="I148" s="77" t="s">
        <v>689</v>
      </c>
      <c r="J148" s="22">
        <v>199</v>
      </c>
      <c r="K148" s="54" t="s">
        <v>21</v>
      </c>
      <c r="L148" s="22" t="s">
        <v>21</v>
      </c>
      <c r="M148" s="55" t="s">
        <v>714</v>
      </c>
      <c r="N148" s="41"/>
    </row>
    <row r="149" spans="1:14" s="62" customFormat="1" ht="146" customHeight="1" x14ac:dyDescent="0.35">
      <c r="A149" s="22">
        <f t="shared" si="2"/>
        <v>145</v>
      </c>
      <c r="B149" s="70" t="s">
        <v>546</v>
      </c>
      <c r="C149" s="22" t="s">
        <v>545</v>
      </c>
      <c r="D149" s="76" t="s">
        <v>3</v>
      </c>
      <c r="E149" s="52" t="s">
        <v>116</v>
      </c>
      <c r="F149" s="52" t="s">
        <v>538</v>
      </c>
      <c r="G149" s="77">
        <v>-5.8181496720937291</v>
      </c>
      <c r="H149" s="77">
        <v>-76.54387558073644</v>
      </c>
      <c r="I149" s="78" t="s">
        <v>689</v>
      </c>
      <c r="J149" s="45">
        <v>204</v>
      </c>
      <c r="K149" s="54" t="s">
        <v>21</v>
      </c>
      <c r="L149" s="22" t="s">
        <v>21</v>
      </c>
      <c r="M149" s="47" t="s">
        <v>713</v>
      </c>
      <c r="N149" s="41"/>
    </row>
    <row r="150" spans="1:14" s="62" customFormat="1" ht="140" customHeight="1" x14ac:dyDescent="0.35">
      <c r="A150" s="22">
        <f t="shared" si="2"/>
        <v>146</v>
      </c>
      <c r="B150" s="70" t="s">
        <v>548</v>
      </c>
      <c r="C150" s="22" t="s">
        <v>547</v>
      </c>
      <c r="D150" s="76" t="s">
        <v>3</v>
      </c>
      <c r="E150" s="52" t="s">
        <v>116</v>
      </c>
      <c r="F150" s="52" t="s">
        <v>538</v>
      </c>
      <c r="G150" s="77">
        <v>-5.7964872887618633</v>
      </c>
      <c r="H150" s="77">
        <v>-76.545360619898119</v>
      </c>
      <c r="I150" s="77" t="s">
        <v>689</v>
      </c>
      <c r="J150" s="22">
        <v>204</v>
      </c>
      <c r="K150" s="54" t="s">
        <v>21</v>
      </c>
      <c r="L150" s="22" t="s">
        <v>21</v>
      </c>
      <c r="M150" s="55" t="s">
        <v>713</v>
      </c>
      <c r="N150" s="41"/>
    </row>
    <row r="151" spans="1:14" s="62" customFormat="1" ht="138.5" customHeight="1" x14ac:dyDescent="0.35">
      <c r="A151" s="22">
        <f t="shared" si="2"/>
        <v>147</v>
      </c>
      <c r="B151" s="70" t="s">
        <v>550</v>
      </c>
      <c r="C151" s="22" t="s">
        <v>549</v>
      </c>
      <c r="D151" s="76" t="s">
        <v>3</v>
      </c>
      <c r="E151" s="52" t="s">
        <v>116</v>
      </c>
      <c r="F151" s="52" t="s">
        <v>538</v>
      </c>
      <c r="G151" s="77">
        <v>-5.8024562273431934</v>
      </c>
      <c r="H151" s="77">
        <v>-76.52854585004799</v>
      </c>
      <c r="I151" s="77" t="s">
        <v>689</v>
      </c>
      <c r="J151" s="22">
        <v>186</v>
      </c>
      <c r="K151" s="54" t="s">
        <v>21</v>
      </c>
      <c r="L151" s="22" t="s">
        <v>21</v>
      </c>
      <c r="M151" s="55" t="s">
        <v>713</v>
      </c>
      <c r="N151" s="41"/>
    </row>
    <row r="152" spans="1:14" s="62" customFormat="1" ht="57" customHeight="1" x14ac:dyDescent="0.35">
      <c r="A152" s="22">
        <f t="shared" si="2"/>
        <v>148</v>
      </c>
      <c r="B152" s="70" t="s">
        <v>551</v>
      </c>
      <c r="C152" s="22"/>
      <c r="D152" s="76" t="s">
        <v>3</v>
      </c>
      <c r="E152" s="52" t="s">
        <v>116</v>
      </c>
      <c r="F152" s="52" t="s">
        <v>538</v>
      </c>
      <c r="G152" s="77">
        <v>-5.9006538208075598</v>
      </c>
      <c r="H152" s="77">
        <v>-76.7213654874989</v>
      </c>
      <c r="I152" s="77" t="s">
        <v>689</v>
      </c>
      <c r="J152" s="22">
        <v>741</v>
      </c>
      <c r="K152" s="54">
        <v>750</v>
      </c>
      <c r="L152" s="22" t="s">
        <v>21</v>
      </c>
      <c r="M152" s="55" t="s">
        <v>750</v>
      </c>
      <c r="N152" s="41"/>
    </row>
    <row r="153" spans="1:14" s="62" customFormat="1" ht="110.5" customHeight="1" x14ac:dyDescent="0.35">
      <c r="A153" s="22">
        <f t="shared" si="2"/>
        <v>149</v>
      </c>
      <c r="B153" s="70" t="s">
        <v>553</v>
      </c>
      <c r="C153" s="22" t="s">
        <v>552</v>
      </c>
      <c r="D153" s="76" t="s">
        <v>3</v>
      </c>
      <c r="E153" s="52" t="s">
        <v>116</v>
      </c>
      <c r="F153" s="52" t="s">
        <v>538</v>
      </c>
      <c r="G153" s="77">
        <v>-5.8677337632457851</v>
      </c>
      <c r="H153" s="77">
        <v>-76.553466386389715</v>
      </c>
      <c r="I153" s="77" t="s">
        <v>689</v>
      </c>
      <c r="J153" s="22">
        <v>242</v>
      </c>
      <c r="K153" s="54" t="s">
        <v>21</v>
      </c>
      <c r="L153" s="22" t="s">
        <v>21</v>
      </c>
      <c r="M153" s="55" t="s">
        <v>672</v>
      </c>
      <c r="N153" s="41"/>
    </row>
    <row r="154" spans="1:14" s="62" customFormat="1" ht="105" customHeight="1" x14ac:dyDescent="0.35">
      <c r="A154" s="22">
        <f t="shared" si="2"/>
        <v>150</v>
      </c>
      <c r="B154" s="34" t="s">
        <v>554</v>
      </c>
      <c r="C154" s="22"/>
      <c r="D154" s="76" t="s">
        <v>3</v>
      </c>
      <c r="E154" s="52" t="s">
        <v>116</v>
      </c>
      <c r="F154" s="52" t="s">
        <v>538</v>
      </c>
      <c r="G154" s="29">
        <v>-5.8659231713619304</v>
      </c>
      <c r="H154" s="29">
        <v>-76.554165759940602</v>
      </c>
      <c r="I154" s="29" t="s">
        <v>688</v>
      </c>
      <c r="J154" s="22">
        <v>245</v>
      </c>
      <c r="K154" s="54" t="s">
        <v>21</v>
      </c>
      <c r="L154" s="22" t="s">
        <v>21</v>
      </c>
      <c r="M154" s="55" t="s">
        <v>751</v>
      </c>
      <c r="N154" s="41"/>
    </row>
    <row r="155" spans="1:14" s="42" customFormat="1" ht="140.5" customHeight="1" x14ac:dyDescent="0.35">
      <c r="A155" s="22">
        <f t="shared" si="2"/>
        <v>151</v>
      </c>
      <c r="B155" s="34" t="s">
        <v>556</v>
      </c>
      <c r="C155" s="22" t="s">
        <v>555</v>
      </c>
      <c r="D155" s="52" t="s">
        <v>3</v>
      </c>
      <c r="E155" s="52" t="s">
        <v>116</v>
      </c>
      <c r="F155" s="52" t="s">
        <v>538</v>
      </c>
      <c r="G155" s="53">
        <v>-5.8740407619245891</v>
      </c>
      <c r="H155" s="53">
        <v>-76.522445483120379</v>
      </c>
      <c r="I155" s="53" t="s">
        <v>689</v>
      </c>
      <c r="J155" s="22">
        <v>340</v>
      </c>
      <c r="K155" s="54">
        <v>323</v>
      </c>
      <c r="L155" s="22" t="s">
        <v>21</v>
      </c>
      <c r="M155" s="55" t="s">
        <v>752</v>
      </c>
      <c r="N155" s="41"/>
    </row>
    <row r="156" spans="1:14" s="42" customFormat="1" ht="110.5" customHeight="1" x14ac:dyDescent="0.35">
      <c r="A156" s="22">
        <f t="shared" si="2"/>
        <v>152</v>
      </c>
      <c r="B156" s="34" t="s">
        <v>558</v>
      </c>
      <c r="C156" s="45" t="s">
        <v>557</v>
      </c>
      <c r="D156" s="37" t="s">
        <v>3</v>
      </c>
      <c r="E156" s="37" t="s">
        <v>116</v>
      </c>
      <c r="F156" s="37" t="s">
        <v>538</v>
      </c>
      <c r="G156" s="44">
        <v>-5.8740416227563044</v>
      </c>
      <c r="H156" s="44">
        <v>-76.522129410114204</v>
      </c>
      <c r="I156" s="44" t="s">
        <v>689</v>
      </c>
      <c r="J156" s="45">
        <v>344</v>
      </c>
      <c r="K156" s="46">
        <v>324</v>
      </c>
      <c r="L156" s="22" t="s">
        <v>21</v>
      </c>
      <c r="M156" s="47" t="s">
        <v>672</v>
      </c>
      <c r="N156" s="41"/>
    </row>
    <row r="157" spans="1:14" s="42" customFormat="1" ht="114.5" customHeight="1" x14ac:dyDescent="0.35">
      <c r="A157" s="22">
        <f t="shared" si="2"/>
        <v>153</v>
      </c>
      <c r="B157" s="34" t="s">
        <v>560</v>
      </c>
      <c r="C157" s="22" t="s">
        <v>559</v>
      </c>
      <c r="D157" s="52" t="s">
        <v>3</v>
      </c>
      <c r="E157" s="52" t="s">
        <v>116</v>
      </c>
      <c r="F157" s="52" t="s">
        <v>538</v>
      </c>
      <c r="G157" s="64">
        <v>-5.8628021420680092</v>
      </c>
      <c r="H157" s="64">
        <v>-76.570800091129982</v>
      </c>
      <c r="I157" s="64" t="s">
        <v>689</v>
      </c>
      <c r="J157" s="22">
        <v>203</v>
      </c>
      <c r="K157" s="54" t="s">
        <v>21</v>
      </c>
      <c r="L157" s="52" t="s">
        <v>651</v>
      </c>
      <c r="M157" s="55" t="s">
        <v>672</v>
      </c>
      <c r="N157" s="41"/>
    </row>
    <row r="158" spans="1:14" s="42" customFormat="1" ht="48.75" customHeight="1" x14ac:dyDescent="0.35">
      <c r="A158" s="22">
        <f t="shared" si="2"/>
        <v>154</v>
      </c>
      <c r="B158" s="34" t="s">
        <v>561</v>
      </c>
      <c r="C158" s="22" t="s">
        <v>21</v>
      </c>
      <c r="D158" s="52" t="s">
        <v>3</v>
      </c>
      <c r="E158" s="52" t="s">
        <v>116</v>
      </c>
      <c r="F158" s="52" t="s">
        <v>538</v>
      </c>
      <c r="G158" s="29">
        <v>-5.8616702208008897</v>
      </c>
      <c r="H158" s="29">
        <v>-76.551878327647898</v>
      </c>
      <c r="I158" s="29" t="s">
        <v>688</v>
      </c>
      <c r="J158" s="22">
        <v>216</v>
      </c>
      <c r="K158" s="54"/>
      <c r="L158" s="22" t="s">
        <v>21</v>
      </c>
      <c r="M158" s="79" t="s">
        <v>753</v>
      </c>
      <c r="N158" s="41"/>
    </row>
    <row r="159" spans="1:14" s="42" customFormat="1" ht="148.5" customHeight="1" x14ac:dyDescent="0.35">
      <c r="A159" s="22">
        <f t="shared" si="2"/>
        <v>155</v>
      </c>
      <c r="B159" s="36" t="s">
        <v>563</v>
      </c>
      <c r="C159" s="45" t="s">
        <v>562</v>
      </c>
      <c r="D159" s="37" t="s">
        <v>3</v>
      </c>
      <c r="E159" s="37" t="s">
        <v>116</v>
      </c>
      <c r="F159" s="37" t="s">
        <v>538</v>
      </c>
      <c r="G159" s="28">
        <v>-5.8585724150107197</v>
      </c>
      <c r="H159" s="28">
        <v>-76.569930398029001</v>
      </c>
      <c r="I159" s="28" t="s">
        <v>688</v>
      </c>
      <c r="J159" s="45">
        <v>215</v>
      </c>
      <c r="K159" s="46" t="s">
        <v>21</v>
      </c>
      <c r="L159" s="22" t="s">
        <v>21</v>
      </c>
      <c r="M159" s="47" t="s">
        <v>749</v>
      </c>
      <c r="N159" s="41"/>
    </row>
    <row r="160" spans="1:14" s="42" customFormat="1" ht="109" customHeight="1" x14ac:dyDescent="0.35">
      <c r="A160" s="34">
        <f t="shared" si="2"/>
        <v>156</v>
      </c>
      <c r="B160" s="50" t="s">
        <v>565</v>
      </c>
      <c r="C160" s="36" t="s">
        <v>564</v>
      </c>
      <c r="D160" s="37" t="s">
        <v>3</v>
      </c>
      <c r="E160" s="37" t="s">
        <v>116</v>
      </c>
      <c r="F160" s="37" t="s">
        <v>538</v>
      </c>
      <c r="G160" s="28">
        <v>-5.8585723391152502</v>
      </c>
      <c r="H160" s="28">
        <v>-76.5699574886427</v>
      </c>
      <c r="I160" s="28" t="s">
        <v>688</v>
      </c>
      <c r="J160" s="36">
        <v>215</v>
      </c>
      <c r="K160" s="50" t="s">
        <v>21</v>
      </c>
      <c r="L160" s="22" t="s">
        <v>21</v>
      </c>
      <c r="M160" s="47" t="s">
        <v>672</v>
      </c>
      <c r="N160" s="41"/>
    </row>
    <row r="161" spans="1:14" s="42" customFormat="1" ht="121" customHeight="1" x14ac:dyDescent="0.35">
      <c r="A161" s="45">
        <f t="shared" si="2"/>
        <v>157</v>
      </c>
      <c r="B161" s="50" t="s">
        <v>567</v>
      </c>
      <c r="C161" s="45" t="s">
        <v>566</v>
      </c>
      <c r="D161" s="37" t="s">
        <v>3</v>
      </c>
      <c r="E161" s="37" t="s">
        <v>116</v>
      </c>
      <c r="F161" s="37" t="s">
        <v>538</v>
      </c>
      <c r="G161" s="44">
        <v>-5.8586086450643124</v>
      </c>
      <c r="H161" s="44">
        <v>-76.569921459027114</v>
      </c>
      <c r="I161" s="44" t="s">
        <v>689</v>
      </c>
      <c r="J161" s="45">
        <v>214</v>
      </c>
      <c r="K161" s="46" t="s">
        <v>21</v>
      </c>
      <c r="L161" s="22" t="s">
        <v>21</v>
      </c>
      <c r="M161" s="47" t="s">
        <v>751</v>
      </c>
      <c r="N161" s="41"/>
    </row>
    <row r="162" spans="1:14" s="42" customFormat="1" ht="99" customHeight="1" x14ac:dyDescent="0.35">
      <c r="A162" s="45">
        <f t="shared" si="2"/>
        <v>158</v>
      </c>
      <c r="B162" s="50" t="s">
        <v>569</v>
      </c>
      <c r="C162" s="45" t="s">
        <v>568</v>
      </c>
      <c r="D162" s="37" t="s">
        <v>3</v>
      </c>
      <c r="E162" s="37" t="s">
        <v>116</v>
      </c>
      <c r="F162" s="37" t="s">
        <v>538</v>
      </c>
      <c r="G162" s="44">
        <v>-5.8587893269489726</v>
      </c>
      <c r="H162" s="44">
        <v>-76.569985175742502</v>
      </c>
      <c r="I162" s="44" t="s">
        <v>689</v>
      </c>
      <c r="J162" s="45">
        <v>213</v>
      </c>
      <c r="K162" s="46" t="s">
        <v>21</v>
      </c>
      <c r="L162" s="22" t="s">
        <v>21</v>
      </c>
      <c r="M162" s="47" t="s">
        <v>672</v>
      </c>
      <c r="N162" s="41"/>
    </row>
    <row r="163" spans="1:14" s="42" customFormat="1" ht="109.5" customHeight="1" x14ac:dyDescent="0.35">
      <c r="A163" s="45">
        <f t="shared" si="2"/>
        <v>159</v>
      </c>
      <c r="B163" s="36" t="s">
        <v>571</v>
      </c>
      <c r="C163" s="45" t="s">
        <v>570</v>
      </c>
      <c r="D163" s="37" t="s">
        <v>3</v>
      </c>
      <c r="E163" s="37" t="s">
        <v>116</v>
      </c>
      <c r="F163" s="37" t="s">
        <v>538</v>
      </c>
      <c r="G163" s="44">
        <v>-5.8587531045538936</v>
      </c>
      <c r="H163" s="44">
        <v>-76.570003135099256</v>
      </c>
      <c r="I163" s="44" t="s">
        <v>689</v>
      </c>
      <c r="J163" s="45">
        <v>213</v>
      </c>
      <c r="K163" s="46" t="s">
        <v>21</v>
      </c>
      <c r="L163" s="22" t="s">
        <v>21</v>
      </c>
      <c r="M163" s="47" t="s">
        <v>754</v>
      </c>
      <c r="N163" s="41"/>
    </row>
    <row r="164" spans="1:14" s="62" customFormat="1" ht="63" customHeight="1" x14ac:dyDescent="0.35">
      <c r="A164" s="22">
        <f t="shared" si="2"/>
        <v>160</v>
      </c>
      <c r="B164" s="36" t="s">
        <v>572</v>
      </c>
      <c r="C164" s="45" t="s">
        <v>21</v>
      </c>
      <c r="D164" s="37" t="s">
        <v>3</v>
      </c>
      <c r="E164" s="37" t="s">
        <v>116</v>
      </c>
      <c r="F164" s="37" t="s">
        <v>538</v>
      </c>
      <c r="G164" s="28">
        <v>-5.8584818084316899</v>
      </c>
      <c r="H164" s="28">
        <v>-76.569993356826004</v>
      </c>
      <c r="I164" s="28" t="s">
        <v>688</v>
      </c>
      <c r="J164" s="45">
        <v>216</v>
      </c>
      <c r="K164" s="46" t="s">
        <v>21</v>
      </c>
      <c r="L164" s="22" t="s">
        <v>21</v>
      </c>
      <c r="M164" s="47" t="s">
        <v>673</v>
      </c>
      <c r="N164" s="41"/>
    </row>
    <row r="165" spans="1:14" s="42" customFormat="1" ht="62" customHeight="1" x14ac:dyDescent="0.35">
      <c r="A165" s="22">
        <f t="shared" si="2"/>
        <v>161</v>
      </c>
      <c r="B165" s="36" t="s">
        <v>573</v>
      </c>
      <c r="C165" s="45" t="s">
        <v>21</v>
      </c>
      <c r="D165" s="37" t="s">
        <v>3</v>
      </c>
      <c r="E165" s="37" t="s">
        <v>116</v>
      </c>
      <c r="F165" s="37" t="s">
        <v>538</v>
      </c>
      <c r="G165" s="28">
        <v>-5.8585089878757302</v>
      </c>
      <c r="H165" s="28">
        <v>-76.5699753722091</v>
      </c>
      <c r="I165" s="28" t="s">
        <v>688</v>
      </c>
      <c r="J165" s="45">
        <v>215</v>
      </c>
      <c r="K165" s="46" t="s">
        <v>21</v>
      </c>
      <c r="L165" s="22" t="s">
        <v>21</v>
      </c>
      <c r="M165" s="47" t="s">
        <v>673</v>
      </c>
      <c r="N165" s="41"/>
    </row>
    <row r="166" spans="1:14" s="42" customFormat="1" ht="54.75" customHeight="1" x14ac:dyDescent="0.35">
      <c r="A166" s="22">
        <f t="shared" si="2"/>
        <v>162</v>
      </c>
      <c r="B166" s="36" t="s">
        <v>574</v>
      </c>
      <c r="C166" s="45" t="s">
        <v>21</v>
      </c>
      <c r="D166" s="37" t="s">
        <v>3</v>
      </c>
      <c r="E166" s="37" t="s">
        <v>116</v>
      </c>
      <c r="F166" s="37" t="s">
        <v>538</v>
      </c>
      <c r="G166" s="28">
        <v>-5.8585090637712396</v>
      </c>
      <c r="H166" s="28">
        <v>-76.569948281598798</v>
      </c>
      <c r="I166" s="28" t="s">
        <v>688</v>
      </c>
      <c r="J166" s="45">
        <v>215</v>
      </c>
      <c r="K166" s="46" t="s">
        <v>21</v>
      </c>
      <c r="L166" s="22" t="s">
        <v>21</v>
      </c>
      <c r="M166" s="47" t="s">
        <v>673</v>
      </c>
      <c r="N166" s="41"/>
    </row>
    <row r="167" spans="1:14" s="42" customFormat="1" ht="54" customHeight="1" x14ac:dyDescent="0.35">
      <c r="A167" s="22">
        <f t="shared" si="2"/>
        <v>163</v>
      </c>
      <c r="B167" s="36" t="s">
        <v>575</v>
      </c>
      <c r="C167" s="45" t="s">
        <v>21</v>
      </c>
      <c r="D167" s="37" t="s">
        <v>3</v>
      </c>
      <c r="E167" s="37" t="s">
        <v>116</v>
      </c>
      <c r="F167" s="37" t="s">
        <v>538</v>
      </c>
      <c r="G167" s="28">
        <v>-5.8585813061672498</v>
      </c>
      <c r="H167" s="28">
        <v>-76.569984604519505</v>
      </c>
      <c r="I167" s="28" t="s">
        <v>688</v>
      </c>
      <c r="J167" s="45">
        <v>215</v>
      </c>
      <c r="K167" s="46" t="s">
        <v>21</v>
      </c>
      <c r="L167" s="22" t="s">
        <v>21</v>
      </c>
      <c r="M167" s="47" t="s">
        <v>673</v>
      </c>
      <c r="N167" s="41"/>
    </row>
    <row r="168" spans="1:14" s="42" customFormat="1" ht="58.5" customHeight="1" x14ac:dyDescent="0.35">
      <c r="A168" s="22">
        <f t="shared" si="2"/>
        <v>164</v>
      </c>
      <c r="B168" s="36" t="s">
        <v>576</v>
      </c>
      <c r="C168" s="45" t="s">
        <v>21</v>
      </c>
      <c r="D168" s="37" t="s">
        <v>3</v>
      </c>
      <c r="E168" s="37" t="s">
        <v>116</v>
      </c>
      <c r="F168" s="37" t="s">
        <v>538</v>
      </c>
      <c r="G168" s="28">
        <v>-5.8585088866796697</v>
      </c>
      <c r="H168" s="28">
        <v>-76.570011493022406</v>
      </c>
      <c r="I168" s="28" t="s">
        <v>688</v>
      </c>
      <c r="J168" s="45">
        <v>215</v>
      </c>
      <c r="K168" s="46" t="s">
        <v>21</v>
      </c>
      <c r="L168" s="22" t="s">
        <v>21</v>
      </c>
      <c r="M168" s="47" t="s">
        <v>673</v>
      </c>
      <c r="N168" s="41"/>
    </row>
    <row r="169" spans="1:14" s="42" customFormat="1" ht="59.5" customHeight="1" x14ac:dyDescent="0.35">
      <c r="A169" s="22">
        <f t="shared" si="2"/>
        <v>165</v>
      </c>
      <c r="B169" s="36" t="s">
        <v>577</v>
      </c>
      <c r="C169" s="45" t="s">
        <v>21</v>
      </c>
      <c r="D169" s="37" t="s">
        <v>3</v>
      </c>
      <c r="E169" s="37" t="s">
        <v>116</v>
      </c>
      <c r="F169" s="37" t="s">
        <v>538</v>
      </c>
      <c r="G169" s="28">
        <v>-5.8585811796695104</v>
      </c>
      <c r="H169" s="28">
        <v>-76.570029755541597</v>
      </c>
      <c r="I169" s="28" t="s">
        <v>688</v>
      </c>
      <c r="J169" s="45">
        <v>215</v>
      </c>
      <c r="K169" s="46" t="s">
        <v>21</v>
      </c>
      <c r="L169" s="22" t="s">
        <v>21</v>
      </c>
      <c r="M169" s="47" t="s">
        <v>673</v>
      </c>
      <c r="N169" s="41"/>
    </row>
    <row r="170" spans="1:14" s="42" customFormat="1" ht="60.5" customHeight="1" x14ac:dyDescent="0.35">
      <c r="A170" s="22">
        <f t="shared" si="2"/>
        <v>166</v>
      </c>
      <c r="B170" s="36" t="s">
        <v>578</v>
      </c>
      <c r="C170" s="45" t="s">
        <v>21</v>
      </c>
      <c r="D170" s="37" t="s">
        <v>3</v>
      </c>
      <c r="E170" s="37" t="s">
        <v>116</v>
      </c>
      <c r="F170" s="37" t="s">
        <v>538</v>
      </c>
      <c r="G170" s="28">
        <v>-5.8585177272289402</v>
      </c>
      <c r="H170" s="28">
        <v>-76.570083759911896</v>
      </c>
      <c r="I170" s="28" t="s">
        <v>688</v>
      </c>
      <c r="J170" s="45">
        <v>215</v>
      </c>
      <c r="K170" s="46" t="s">
        <v>21</v>
      </c>
      <c r="L170" s="22" t="s">
        <v>21</v>
      </c>
      <c r="M170" s="47" t="s">
        <v>673</v>
      </c>
      <c r="N170" s="41"/>
    </row>
    <row r="171" spans="1:14" s="42" customFormat="1" ht="59.5" customHeight="1" x14ac:dyDescent="0.35">
      <c r="A171" s="22">
        <f t="shared" si="2"/>
        <v>167</v>
      </c>
      <c r="B171" s="36" t="s">
        <v>579</v>
      </c>
      <c r="C171" s="45" t="s">
        <v>21</v>
      </c>
      <c r="D171" s="37" t="s">
        <v>3</v>
      </c>
      <c r="E171" s="37" t="s">
        <v>116</v>
      </c>
      <c r="F171" s="37" t="s">
        <v>538</v>
      </c>
      <c r="G171" s="28">
        <v>-5.8584997931321601</v>
      </c>
      <c r="H171" s="28">
        <v>-76.570029528164895</v>
      </c>
      <c r="I171" s="28" t="s">
        <v>688</v>
      </c>
      <c r="J171" s="45">
        <v>216</v>
      </c>
      <c r="K171" s="46" t="s">
        <v>21</v>
      </c>
      <c r="L171" s="22" t="s">
        <v>21</v>
      </c>
      <c r="M171" s="47" t="s">
        <v>673</v>
      </c>
      <c r="N171" s="41"/>
    </row>
    <row r="172" spans="1:14" s="42" customFormat="1" ht="73.5" customHeight="1" x14ac:dyDescent="0.35">
      <c r="A172" s="22">
        <f t="shared" si="2"/>
        <v>168</v>
      </c>
      <c r="B172" s="37" t="s">
        <v>580</v>
      </c>
      <c r="C172" s="37" t="s">
        <v>21</v>
      </c>
      <c r="D172" s="37" t="s">
        <v>3</v>
      </c>
      <c r="E172" s="37" t="s">
        <v>116</v>
      </c>
      <c r="F172" s="37" t="s">
        <v>538</v>
      </c>
      <c r="G172" s="33">
        <v>-5.8591241613966396</v>
      </c>
      <c r="H172" s="33">
        <v>-76.569886788054603</v>
      </c>
      <c r="I172" s="33" t="s">
        <v>689</v>
      </c>
      <c r="J172" s="45">
        <v>212</v>
      </c>
      <c r="K172" s="46" t="s">
        <v>21</v>
      </c>
      <c r="L172" s="22" t="s">
        <v>21</v>
      </c>
      <c r="M172" s="47" t="s">
        <v>674</v>
      </c>
      <c r="N172" s="41"/>
    </row>
    <row r="173" spans="1:14" s="42" customFormat="1" ht="71.5" customHeight="1" x14ac:dyDescent="0.35">
      <c r="A173" s="22">
        <f t="shared" si="2"/>
        <v>169</v>
      </c>
      <c r="B173" s="37" t="s">
        <v>707</v>
      </c>
      <c r="C173" s="37" t="s">
        <v>21</v>
      </c>
      <c r="D173" s="37" t="s">
        <v>3</v>
      </c>
      <c r="E173" s="37" t="s">
        <v>116</v>
      </c>
      <c r="F173" s="37" t="s">
        <v>538</v>
      </c>
      <c r="G173" s="33">
        <v>-5.8593324528232102</v>
      </c>
      <c r="H173" s="33">
        <v>-76.569779006537203</v>
      </c>
      <c r="I173" s="33" t="s">
        <v>689</v>
      </c>
      <c r="J173" s="45">
        <v>211</v>
      </c>
      <c r="K173" s="46" t="s">
        <v>21</v>
      </c>
      <c r="L173" s="22" t="s">
        <v>21</v>
      </c>
      <c r="M173" s="47" t="s">
        <v>675</v>
      </c>
      <c r="N173" s="41"/>
    </row>
    <row r="174" spans="1:14" s="42" customFormat="1" ht="111.5" customHeight="1" x14ac:dyDescent="0.35">
      <c r="A174" s="22">
        <f t="shared" si="2"/>
        <v>170</v>
      </c>
      <c r="B174" s="36" t="s">
        <v>582</v>
      </c>
      <c r="C174" s="45" t="s">
        <v>581</v>
      </c>
      <c r="D174" s="37" t="s">
        <v>3</v>
      </c>
      <c r="E174" s="37" t="s">
        <v>116</v>
      </c>
      <c r="F174" s="37" t="s">
        <v>538</v>
      </c>
      <c r="G174" s="44">
        <v>-5.8724731464138218</v>
      </c>
      <c r="H174" s="44">
        <v>-76.585393304243837</v>
      </c>
      <c r="I174" s="44" t="s">
        <v>689</v>
      </c>
      <c r="J174" s="45">
        <v>267</v>
      </c>
      <c r="K174" s="46" t="s">
        <v>21</v>
      </c>
      <c r="L174" s="22" t="s">
        <v>21</v>
      </c>
      <c r="M174" s="47" t="s">
        <v>672</v>
      </c>
      <c r="N174" s="41"/>
    </row>
    <row r="175" spans="1:14" s="42" customFormat="1" ht="102.5" customHeight="1" x14ac:dyDescent="0.35">
      <c r="A175" s="22">
        <f t="shared" si="2"/>
        <v>171</v>
      </c>
      <c r="B175" s="36" t="s">
        <v>583</v>
      </c>
      <c r="C175" s="45" t="s">
        <v>21</v>
      </c>
      <c r="D175" s="37" t="s">
        <v>3</v>
      </c>
      <c r="E175" s="37" t="s">
        <v>116</v>
      </c>
      <c r="F175" s="37" t="s">
        <v>538</v>
      </c>
      <c r="G175" s="28">
        <v>-5.8724550275126797</v>
      </c>
      <c r="H175" s="28">
        <v>-76.585393263219402</v>
      </c>
      <c r="I175" s="28" t="s">
        <v>688</v>
      </c>
      <c r="J175" s="45">
        <v>267</v>
      </c>
      <c r="K175" s="46" t="s">
        <v>21</v>
      </c>
      <c r="L175" s="22" t="s">
        <v>21</v>
      </c>
      <c r="M175" s="47" t="s">
        <v>672</v>
      </c>
      <c r="N175" s="41"/>
    </row>
    <row r="176" spans="1:14" s="42" customFormat="1" ht="75.75" customHeight="1" x14ac:dyDescent="0.35">
      <c r="A176" s="22">
        <f t="shared" si="2"/>
        <v>172</v>
      </c>
      <c r="B176" s="36" t="s">
        <v>585</v>
      </c>
      <c r="C176" s="45" t="s">
        <v>584</v>
      </c>
      <c r="D176" s="37" t="s">
        <v>3</v>
      </c>
      <c r="E176" s="37" t="s">
        <v>116</v>
      </c>
      <c r="F176" s="37" t="s">
        <v>538</v>
      </c>
      <c r="G176" s="44">
        <v>-5.8517486369772298</v>
      </c>
      <c r="H176" s="44">
        <v>-76.562136349587547</v>
      </c>
      <c r="I176" s="44" t="s">
        <v>689</v>
      </c>
      <c r="J176" s="45">
        <v>203</v>
      </c>
      <c r="K176" s="46" t="s">
        <v>21</v>
      </c>
      <c r="L176" s="22" t="s">
        <v>21</v>
      </c>
      <c r="M176" s="47" t="s">
        <v>673</v>
      </c>
      <c r="N176" s="41"/>
    </row>
    <row r="177" spans="1:14" s="42" customFormat="1" ht="45.75" customHeight="1" x14ac:dyDescent="0.35">
      <c r="A177" s="22">
        <f t="shared" si="2"/>
        <v>173</v>
      </c>
      <c r="B177" s="36" t="s">
        <v>587</v>
      </c>
      <c r="C177" s="45" t="s">
        <v>586</v>
      </c>
      <c r="D177" s="37" t="s">
        <v>3</v>
      </c>
      <c r="E177" s="37" t="s">
        <v>116</v>
      </c>
      <c r="F177" s="37" t="s">
        <v>538</v>
      </c>
      <c r="G177" s="44">
        <v>-5.8621108448032198</v>
      </c>
      <c r="H177" s="44">
        <v>-76.549522597573073</v>
      </c>
      <c r="I177" s="44" t="s">
        <v>689</v>
      </c>
      <c r="J177" s="45">
        <v>204</v>
      </c>
      <c r="K177" s="46" t="s">
        <v>21</v>
      </c>
      <c r="L177" s="22" t="s">
        <v>21</v>
      </c>
      <c r="M177" s="47" t="s">
        <v>673</v>
      </c>
      <c r="N177" s="41"/>
    </row>
    <row r="178" spans="1:14" s="42" customFormat="1" ht="52.5" customHeight="1" x14ac:dyDescent="0.35">
      <c r="A178" s="22">
        <f t="shared" si="2"/>
        <v>174</v>
      </c>
      <c r="B178" s="36" t="s">
        <v>589</v>
      </c>
      <c r="C178" s="45" t="s">
        <v>588</v>
      </c>
      <c r="D178" s="37" t="s">
        <v>3</v>
      </c>
      <c r="E178" s="37" t="s">
        <v>116</v>
      </c>
      <c r="F178" s="37" t="s">
        <v>538</v>
      </c>
      <c r="G178" s="44">
        <v>-5.8497825121053353</v>
      </c>
      <c r="H178" s="44">
        <v>-76.563494446370939</v>
      </c>
      <c r="I178" s="44" t="s">
        <v>689</v>
      </c>
      <c r="J178" s="45">
        <v>211</v>
      </c>
      <c r="K178" s="46" t="s">
        <v>21</v>
      </c>
      <c r="L178" s="22" t="s">
        <v>21</v>
      </c>
      <c r="M178" s="47" t="s">
        <v>748</v>
      </c>
      <c r="N178" s="41"/>
    </row>
    <row r="179" spans="1:14" s="42" customFormat="1" ht="55.5" customHeight="1" x14ac:dyDescent="0.35">
      <c r="A179" s="22">
        <f t="shared" si="2"/>
        <v>175</v>
      </c>
      <c r="B179" s="36" t="s">
        <v>591</v>
      </c>
      <c r="C179" s="45" t="s">
        <v>590</v>
      </c>
      <c r="D179" s="37" t="s">
        <v>3</v>
      </c>
      <c r="E179" s="37" t="s">
        <v>116</v>
      </c>
      <c r="F179" s="37" t="s">
        <v>538</v>
      </c>
      <c r="G179" s="44">
        <v>-5.8410892449195178</v>
      </c>
      <c r="H179" s="44">
        <v>-76.541626580971183</v>
      </c>
      <c r="I179" s="44" t="s">
        <v>689</v>
      </c>
      <c r="J179" s="45">
        <v>202</v>
      </c>
      <c r="K179" s="46" t="s">
        <v>21</v>
      </c>
      <c r="L179" s="22" t="s">
        <v>21</v>
      </c>
      <c r="M179" s="47" t="s">
        <v>748</v>
      </c>
      <c r="N179" s="41"/>
    </row>
    <row r="180" spans="1:14" s="42" customFormat="1" ht="40" customHeight="1" x14ac:dyDescent="0.35">
      <c r="A180" s="22">
        <f t="shared" si="2"/>
        <v>176</v>
      </c>
      <c r="B180" s="36" t="s">
        <v>593</v>
      </c>
      <c r="C180" s="45" t="s">
        <v>592</v>
      </c>
      <c r="D180" s="37" t="s">
        <v>3</v>
      </c>
      <c r="E180" s="37" t="s">
        <v>116</v>
      </c>
      <c r="F180" s="37" t="s">
        <v>538</v>
      </c>
      <c r="G180" s="28">
        <v>-5.8655695312126399</v>
      </c>
      <c r="H180" s="28">
        <v>-76.481143298945099</v>
      </c>
      <c r="I180" s="28" t="s">
        <v>688</v>
      </c>
      <c r="J180" s="45">
        <v>297</v>
      </c>
      <c r="K180" s="46" t="s">
        <v>21</v>
      </c>
      <c r="L180" s="22" t="s">
        <v>21</v>
      </c>
      <c r="M180" s="47" t="s">
        <v>594</v>
      </c>
      <c r="N180" s="41"/>
    </row>
    <row r="181" spans="1:14" s="42" customFormat="1" ht="40" customHeight="1" x14ac:dyDescent="0.35">
      <c r="A181" s="22">
        <f t="shared" si="2"/>
        <v>177</v>
      </c>
      <c r="B181" s="36" t="s">
        <v>595</v>
      </c>
      <c r="C181" s="45" t="s">
        <v>21</v>
      </c>
      <c r="D181" s="37" t="s">
        <v>3</v>
      </c>
      <c r="E181" s="37" t="s">
        <v>116</v>
      </c>
      <c r="F181" s="37" t="s">
        <v>538</v>
      </c>
      <c r="G181" s="28">
        <v>-5.8655695073163097</v>
      </c>
      <c r="H181" s="28">
        <v>-76.481152329637297</v>
      </c>
      <c r="I181" s="28" t="s">
        <v>688</v>
      </c>
      <c r="J181" s="45">
        <v>297</v>
      </c>
      <c r="K181" s="46" t="s">
        <v>21</v>
      </c>
      <c r="L181" s="22" t="s">
        <v>21</v>
      </c>
      <c r="M181" s="47" t="s">
        <v>594</v>
      </c>
      <c r="N181" s="41"/>
    </row>
    <row r="182" spans="1:14" s="42" customFormat="1" ht="43.5" customHeight="1" x14ac:dyDescent="0.35">
      <c r="A182" s="22">
        <f t="shared" si="2"/>
        <v>178</v>
      </c>
      <c r="B182" s="36" t="s">
        <v>596</v>
      </c>
      <c r="C182" s="45" t="s">
        <v>21</v>
      </c>
      <c r="D182" s="37" t="s">
        <v>3</v>
      </c>
      <c r="E182" s="37" t="s">
        <v>116</v>
      </c>
      <c r="F182" s="37" t="s">
        <v>538</v>
      </c>
      <c r="G182" s="28">
        <v>-5.8655785506387099</v>
      </c>
      <c r="H182" s="28">
        <v>-76.481152353500406</v>
      </c>
      <c r="I182" s="28" t="s">
        <v>688</v>
      </c>
      <c r="J182" s="45">
        <v>298</v>
      </c>
      <c r="K182" s="46" t="s">
        <v>21</v>
      </c>
      <c r="L182" s="22" t="s">
        <v>21</v>
      </c>
      <c r="M182" s="47" t="s">
        <v>594</v>
      </c>
      <c r="N182" s="41"/>
    </row>
    <row r="183" spans="1:14" s="42" customFormat="1" ht="67" customHeight="1" x14ac:dyDescent="0.35">
      <c r="A183" s="22">
        <f t="shared" si="2"/>
        <v>179</v>
      </c>
      <c r="B183" s="36" t="s">
        <v>598</v>
      </c>
      <c r="C183" s="45" t="s">
        <v>597</v>
      </c>
      <c r="D183" s="37" t="s">
        <v>3</v>
      </c>
      <c r="E183" s="37" t="s">
        <v>116</v>
      </c>
      <c r="F183" s="37" t="s">
        <v>538</v>
      </c>
      <c r="G183" s="44">
        <v>-5.9103313692232424</v>
      </c>
      <c r="H183" s="44">
        <v>-76.489001827153302</v>
      </c>
      <c r="I183" s="44" t="s">
        <v>689</v>
      </c>
      <c r="J183" s="45">
        <v>195</v>
      </c>
      <c r="K183" s="46" t="s">
        <v>21</v>
      </c>
      <c r="L183" s="22" t="s">
        <v>21</v>
      </c>
      <c r="M183" s="47" t="s">
        <v>755</v>
      </c>
      <c r="N183" s="41"/>
    </row>
    <row r="184" spans="1:14" s="42" customFormat="1" ht="70.5" customHeight="1" x14ac:dyDescent="0.35">
      <c r="A184" s="22">
        <f t="shared" si="2"/>
        <v>180</v>
      </c>
      <c r="B184" s="36" t="s">
        <v>600</v>
      </c>
      <c r="C184" s="45" t="s">
        <v>21</v>
      </c>
      <c r="D184" s="37" t="s">
        <v>3</v>
      </c>
      <c r="E184" s="37" t="s">
        <v>116</v>
      </c>
      <c r="F184" s="37" t="s">
        <v>538</v>
      </c>
      <c r="G184" s="28">
        <v>-5.9104764888221402</v>
      </c>
      <c r="H184" s="28">
        <v>-76.488830626163505</v>
      </c>
      <c r="I184" s="28" t="s">
        <v>688</v>
      </c>
      <c r="J184" s="45">
        <v>194</v>
      </c>
      <c r="K184" s="46" t="s">
        <v>21</v>
      </c>
      <c r="L184" s="22" t="s">
        <v>21</v>
      </c>
      <c r="M184" s="47" t="s">
        <v>755</v>
      </c>
      <c r="N184" s="41"/>
    </row>
    <row r="185" spans="1:14" s="42" customFormat="1" ht="78" customHeight="1" x14ac:dyDescent="0.35">
      <c r="A185" s="22">
        <f t="shared" si="2"/>
        <v>181</v>
      </c>
      <c r="B185" s="36" t="s">
        <v>601</v>
      </c>
      <c r="C185" s="45" t="s">
        <v>21</v>
      </c>
      <c r="D185" s="37" t="s">
        <v>3</v>
      </c>
      <c r="E185" s="37" t="s">
        <v>116</v>
      </c>
      <c r="F185" s="37" t="s">
        <v>538</v>
      </c>
      <c r="G185" s="28">
        <v>-5.9115074501360798</v>
      </c>
      <c r="H185" s="28">
        <v>-76.492193085311797</v>
      </c>
      <c r="I185" s="28" t="s">
        <v>688</v>
      </c>
      <c r="J185" s="45">
        <v>187</v>
      </c>
      <c r="K185" s="46" t="s">
        <v>21</v>
      </c>
      <c r="L185" s="22" t="s">
        <v>21</v>
      </c>
      <c r="M185" s="47" t="s">
        <v>755</v>
      </c>
      <c r="N185" s="41"/>
    </row>
    <row r="186" spans="1:14" s="42" customFormat="1" ht="65" customHeight="1" x14ac:dyDescent="0.35">
      <c r="A186" s="22">
        <f t="shared" si="2"/>
        <v>182</v>
      </c>
      <c r="B186" s="36" t="s">
        <v>602</v>
      </c>
      <c r="C186" s="45" t="s">
        <v>21</v>
      </c>
      <c r="D186" s="37" t="s">
        <v>3</v>
      </c>
      <c r="E186" s="37" t="s">
        <v>116</v>
      </c>
      <c r="F186" s="37" t="s">
        <v>538</v>
      </c>
      <c r="G186" s="28">
        <v>-5.9080527875122302</v>
      </c>
      <c r="H186" s="28">
        <v>-76.482095737841206</v>
      </c>
      <c r="I186" s="28" t="s">
        <v>689</v>
      </c>
      <c r="J186" s="45">
        <v>193</v>
      </c>
      <c r="K186" s="46" t="s">
        <v>21</v>
      </c>
      <c r="L186" s="22" t="s">
        <v>21</v>
      </c>
      <c r="M186" s="47" t="s">
        <v>755</v>
      </c>
      <c r="N186" s="41"/>
    </row>
    <row r="187" spans="1:14" s="42" customFormat="1" ht="74.5" customHeight="1" x14ac:dyDescent="0.35">
      <c r="A187" s="22">
        <f t="shared" si="2"/>
        <v>183</v>
      </c>
      <c r="B187" s="36" t="s">
        <v>603</v>
      </c>
      <c r="C187" s="45" t="s">
        <v>21</v>
      </c>
      <c r="D187" s="37" t="s">
        <v>3</v>
      </c>
      <c r="E187" s="37" t="s">
        <v>116</v>
      </c>
      <c r="F187" s="37" t="s">
        <v>538</v>
      </c>
      <c r="G187" s="28">
        <v>-5.9083146820547903</v>
      </c>
      <c r="H187" s="28">
        <v>-76.482231906048199</v>
      </c>
      <c r="I187" s="28" t="s">
        <v>689</v>
      </c>
      <c r="J187" s="45">
        <v>191</v>
      </c>
      <c r="K187" s="46" t="s">
        <v>21</v>
      </c>
      <c r="L187" s="22" t="s">
        <v>21</v>
      </c>
      <c r="M187" s="47" t="s">
        <v>755</v>
      </c>
      <c r="N187" s="41"/>
    </row>
    <row r="188" spans="1:14" s="42" customFormat="1" ht="70.5" customHeight="1" x14ac:dyDescent="0.35">
      <c r="A188" s="22">
        <f t="shared" si="2"/>
        <v>184</v>
      </c>
      <c r="B188" s="36" t="s">
        <v>605</v>
      </c>
      <c r="C188" s="45" t="s">
        <v>604</v>
      </c>
      <c r="D188" s="37" t="s">
        <v>3</v>
      </c>
      <c r="E188" s="37" t="s">
        <v>116</v>
      </c>
      <c r="F188" s="37" t="s">
        <v>538</v>
      </c>
      <c r="G188" s="44">
        <v>-5.9026107370118526</v>
      </c>
      <c r="H188" s="44">
        <v>-76.48472744589958</v>
      </c>
      <c r="I188" s="44" t="s">
        <v>689</v>
      </c>
      <c r="J188" s="45">
        <v>219</v>
      </c>
      <c r="K188" s="46">
        <v>202</v>
      </c>
      <c r="L188" s="22" t="s">
        <v>21</v>
      </c>
      <c r="M188" s="47" t="s">
        <v>599</v>
      </c>
      <c r="N188" s="41"/>
    </row>
    <row r="189" spans="1:14" s="42" customFormat="1" ht="77" customHeight="1" x14ac:dyDescent="0.35">
      <c r="A189" s="22">
        <f t="shared" si="2"/>
        <v>185</v>
      </c>
      <c r="B189" s="36" t="s">
        <v>607</v>
      </c>
      <c r="C189" s="45" t="s">
        <v>606</v>
      </c>
      <c r="D189" s="37" t="s">
        <v>3</v>
      </c>
      <c r="E189" s="37" t="s">
        <v>116</v>
      </c>
      <c r="F189" s="37" t="s">
        <v>538</v>
      </c>
      <c r="G189" s="44">
        <v>-5.8914300067692107</v>
      </c>
      <c r="H189" s="44">
        <v>-76.492672210718553</v>
      </c>
      <c r="I189" s="44" t="s">
        <v>689</v>
      </c>
      <c r="J189" s="45">
        <v>312</v>
      </c>
      <c r="K189" s="46">
        <v>322</v>
      </c>
      <c r="L189" s="22" t="s">
        <v>21</v>
      </c>
      <c r="M189" s="47" t="s">
        <v>755</v>
      </c>
      <c r="N189" s="41"/>
    </row>
    <row r="190" spans="1:14" s="42" customFormat="1" ht="57" customHeight="1" x14ac:dyDescent="0.35">
      <c r="A190" s="22">
        <f t="shared" si="2"/>
        <v>186</v>
      </c>
      <c r="B190" s="36" t="s">
        <v>609</v>
      </c>
      <c r="C190" s="45" t="s">
        <v>608</v>
      </c>
      <c r="D190" s="37" t="s">
        <v>3</v>
      </c>
      <c r="E190" s="37" t="s">
        <v>116</v>
      </c>
      <c r="F190" s="37" t="s">
        <v>538</v>
      </c>
      <c r="G190" s="44">
        <v>-5.9200303534992731</v>
      </c>
      <c r="H190" s="44">
        <v>-76.504083409643059</v>
      </c>
      <c r="I190" s="44" t="s">
        <v>689</v>
      </c>
      <c r="J190" s="45">
        <v>202</v>
      </c>
      <c r="K190" s="46" t="s">
        <v>21</v>
      </c>
      <c r="L190" s="22" t="s">
        <v>21</v>
      </c>
      <c r="M190" s="47" t="s">
        <v>673</v>
      </c>
      <c r="N190" s="41"/>
    </row>
    <row r="191" spans="1:14" s="42" customFormat="1" ht="52" customHeight="1" x14ac:dyDescent="0.35">
      <c r="A191" s="22">
        <f t="shared" si="2"/>
        <v>187</v>
      </c>
      <c r="B191" s="36" t="s">
        <v>611</v>
      </c>
      <c r="C191" s="45" t="s">
        <v>610</v>
      </c>
      <c r="D191" s="37" t="s">
        <v>3</v>
      </c>
      <c r="E191" s="37" t="s">
        <v>116</v>
      </c>
      <c r="F191" s="37" t="s">
        <v>538</v>
      </c>
      <c r="G191" s="44">
        <v>-5.9128793784325051</v>
      </c>
      <c r="H191" s="44">
        <v>-76.509916437734361</v>
      </c>
      <c r="I191" s="44" t="s">
        <v>689</v>
      </c>
      <c r="J191" s="45">
        <v>201</v>
      </c>
      <c r="K191" s="46" t="s">
        <v>21</v>
      </c>
      <c r="L191" s="22" t="s">
        <v>21</v>
      </c>
      <c r="M191" s="47" t="s">
        <v>673</v>
      </c>
      <c r="N191" s="41"/>
    </row>
    <row r="192" spans="1:14" s="42" customFormat="1" ht="52" customHeight="1" x14ac:dyDescent="0.35">
      <c r="A192" s="22">
        <f t="shared" si="2"/>
        <v>188</v>
      </c>
      <c r="B192" s="70" t="s">
        <v>613</v>
      </c>
      <c r="C192" s="22" t="s">
        <v>612</v>
      </c>
      <c r="D192" s="52" t="s">
        <v>3</v>
      </c>
      <c r="E192" s="52" t="s">
        <v>116</v>
      </c>
      <c r="F192" s="52" t="s">
        <v>538</v>
      </c>
      <c r="G192" s="53">
        <v>-5.9135464018520052</v>
      </c>
      <c r="H192" s="53">
        <v>-76.507389449232178</v>
      </c>
      <c r="I192" s="53" t="s">
        <v>689</v>
      </c>
      <c r="J192" s="22">
        <v>192</v>
      </c>
      <c r="K192" s="54" t="s">
        <v>21</v>
      </c>
      <c r="L192" s="22" t="s">
        <v>21</v>
      </c>
      <c r="M192" s="55" t="s">
        <v>673</v>
      </c>
      <c r="N192" s="41"/>
    </row>
    <row r="193" spans="1:14" s="42" customFormat="1" ht="36" customHeight="1" x14ac:dyDescent="0.35">
      <c r="A193" s="45">
        <f t="shared" si="2"/>
        <v>189</v>
      </c>
      <c r="B193" s="36" t="s">
        <v>614</v>
      </c>
      <c r="C193" s="45" t="s">
        <v>21</v>
      </c>
      <c r="D193" s="37" t="s">
        <v>3</v>
      </c>
      <c r="E193" s="37" t="s">
        <v>116</v>
      </c>
      <c r="F193" s="37" t="s">
        <v>538</v>
      </c>
      <c r="G193" s="28">
        <v>-5.9136095733306799</v>
      </c>
      <c r="H193" s="28">
        <v>-76.507425754907501</v>
      </c>
      <c r="I193" s="28" t="s">
        <v>688</v>
      </c>
      <c r="J193" s="45">
        <v>193</v>
      </c>
      <c r="K193" s="46" t="s">
        <v>21</v>
      </c>
      <c r="L193" s="22" t="s">
        <v>21</v>
      </c>
      <c r="M193" s="58" t="s">
        <v>753</v>
      </c>
      <c r="N193" s="41"/>
    </row>
    <row r="194" spans="1:14" s="42" customFormat="1" ht="40.5" customHeight="1" x14ac:dyDescent="0.35">
      <c r="A194" s="22">
        <f t="shared" si="2"/>
        <v>190</v>
      </c>
      <c r="B194" s="37" t="s">
        <v>615</v>
      </c>
      <c r="C194" s="37" t="s">
        <v>21</v>
      </c>
      <c r="D194" s="37" t="s">
        <v>3</v>
      </c>
      <c r="E194" s="37" t="s">
        <v>116</v>
      </c>
      <c r="F194" s="37" t="s">
        <v>538</v>
      </c>
      <c r="G194" s="33">
        <v>-5.9136004810952301</v>
      </c>
      <c r="H194" s="33">
        <v>-76.507443793139402</v>
      </c>
      <c r="I194" s="33" t="s">
        <v>689</v>
      </c>
      <c r="J194" s="45">
        <v>193</v>
      </c>
      <c r="K194" s="46" t="s">
        <v>21</v>
      </c>
      <c r="L194" s="22" t="s">
        <v>21</v>
      </c>
      <c r="M194" s="58" t="s">
        <v>753</v>
      </c>
      <c r="N194" s="41"/>
    </row>
    <row r="195" spans="1:14" s="42" customFormat="1" ht="33" customHeight="1" x14ac:dyDescent="0.35">
      <c r="A195" s="22">
        <f t="shared" si="2"/>
        <v>191</v>
      </c>
      <c r="B195" s="37" t="s">
        <v>616</v>
      </c>
      <c r="C195" s="37" t="s">
        <v>21</v>
      </c>
      <c r="D195" s="37" t="s">
        <v>3</v>
      </c>
      <c r="E195" s="37" t="s">
        <v>116</v>
      </c>
      <c r="F195" s="37" t="s">
        <v>538</v>
      </c>
      <c r="G195" s="33">
        <v>-5.9135914133784002</v>
      </c>
      <c r="H195" s="33">
        <v>-76.507452800011706</v>
      </c>
      <c r="I195" s="33" t="s">
        <v>689</v>
      </c>
      <c r="J195" s="45">
        <v>193</v>
      </c>
      <c r="K195" s="46" t="s">
        <v>21</v>
      </c>
      <c r="L195" s="22" t="s">
        <v>21</v>
      </c>
      <c r="M195" s="58" t="s">
        <v>753</v>
      </c>
      <c r="N195" s="41"/>
    </row>
    <row r="196" spans="1:14" s="42" customFormat="1" ht="29" customHeight="1" x14ac:dyDescent="0.35">
      <c r="A196" s="22">
        <f t="shared" si="2"/>
        <v>192</v>
      </c>
      <c r="B196" s="36" t="s">
        <v>617</v>
      </c>
      <c r="C196" s="45" t="s">
        <v>21</v>
      </c>
      <c r="D196" s="37" t="s">
        <v>3</v>
      </c>
      <c r="E196" s="37" t="s">
        <v>116</v>
      </c>
      <c r="F196" s="37" t="s">
        <v>538</v>
      </c>
      <c r="G196" s="28">
        <v>-5.9136185184527896</v>
      </c>
      <c r="H196" s="28">
        <v>-76.507461904831899</v>
      </c>
      <c r="I196" s="28" t="s">
        <v>688</v>
      </c>
      <c r="J196" s="45">
        <v>193</v>
      </c>
      <c r="K196" s="46" t="s">
        <v>21</v>
      </c>
      <c r="L196" s="22" t="s">
        <v>21</v>
      </c>
      <c r="M196" s="58" t="s">
        <v>753</v>
      </c>
      <c r="N196" s="41"/>
    </row>
    <row r="197" spans="1:14" s="42" customFormat="1" ht="58.5" customHeight="1" x14ac:dyDescent="0.35">
      <c r="A197" s="22">
        <f t="shared" si="2"/>
        <v>193</v>
      </c>
      <c r="B197" s="36" t="s">
        <v>618</v>
      </c>
      <c r="C197" s="45" t="s">
        <v>21</v>
      </c>
      <c r="D197" s="37" t="s">
        <v>3</v>
      </c>
      <c r="E197" s="37" t="s">
        <v>116</v>
      </c>
      <c r="F197" s="37" t="s">
        <v>538</v>
      </c>
      <c r="G197" s="28">
        <v>-5.9047362147910096</v>
      </c>
      <c r="H197" s="28">
        <v>-76.474410229415497</v>
      </c>
      <c r="I197" s="28" t="s">
        <v>688</v>
      </c>
      <c r="J197" s="45">
        <v>195</v>
      </c>
      <c r="K197" s="46" t="s">
        <v>21</v>
      </c>
      <c r="L197" s="22" t="s">
        <v>21</v>
      </c>
      <c r="M197" s="47" t="s">
        <v>619</v>
      </c>
      <c r="N197" s="41"/>
    </row>
    <row r="198" spans="1:14" s="42" customFormat="1" ht="57" customHeight="1" x14ac:dyDescent="0.35">
      <c r="A198" s="22">
        <f t="shared" ref="A198:A261" si="3">+(A197+1)</f>
        <v>194</v>
      </c>
      <c r="B198" s="36" t="s">
        <v>620</v>
      </c>
      <c r="C198" s="45" t="s">
        <v>21</v>
      </c>
      <c r="D198" s="37" t="s">
        <v>3</v>
      </c>
      <c r="E198" s="37" t="s">
        <v>116</v>
      </c>
      <c r="F198" s="37" t="s">
        <v>538</v>
      </c>
      <c r="G198" s="28">
        <v>-5.90479047481519</v>
      </c>
      <c r="H198" s="28">
        <v>-76.474410372901204</v>
      </c>
      <c r="I198" s="28" t="s">
        <v>688</v>
      </c>
      <c r="J198" s="45">
        <v>195</v>
      </c>
      <c r="K198" s="46" t="s">
        <v>21</v>
      </c>
      <c r="L198" s="22" t="s">
        <v>21</v>
      </c>
      <c r="M198" s="47" t="s">
        <v>619</v>
      </c>
      <c r="N198" s="41"/>
    </row>
    <row r="199" spans="1:14" s="42" customFormat="1" ht="60" customHeight="1" x14ac:dyDescent="0.35">
      <c r="A199" s="22">
        <f t="shared" si="3"/>
        <v>195</v>
      </c>
      <c r="B199" s="36" t="s">
        <v>621</v>
      </c>
      <c r="C199" s="45" t="s">
        <v>21</v>
      </c>
      <c r="D199" s="37" t="s">
        <v>3</v>
      </c>
      <c r="E199" s="37" t="s">
        <v>116</v>
      </c>
      <c r="F199" s="37" t="s">
        <v>538</v>
      </c>
      <c r="G199" s="28">
        <v>-5.9029696289869902</v>
      </c>
      <c r="H199" s="28">
        <v>-76.472174804979602</v>
      </c>
      <c r="I199" s="28" t="s">
        <v>688</v>
      </c>
      <c r="J199" s="45">
        <v>201</v>
      </c>
      <c r="K199" s="46" t="s">
        <v>21</v>
      </c>
      <c r="L199" s="22" t="s">
        <v>21</v>
      </c>
      <c r="M199" s="47" t="s">
        <v>619</v>
      </c>
      <c r="N199" s="41"/>
    </row>
    <row r="200" spans="1:14" s="42" customFormat="1" ht="54.5" customHeight="1" x14ac:dyDescent="0.35">
      <c r="A200" s="22">
        <f t="shared" si="3"/>
        <v>196</v>
      </c>
      <c r="B200" s="36" t="s">
        <v>622</v>
      </c>
      <c r="C200" s="45" t="s">
        <v>21</v>
      </c>
      <c r="D200" s="37" t="s">
        <v>3</v>
      </c>
      <c r="E200" s="37" t="s">
        <v>116</v>
      </c>
      <c r="F200" s="37" t="s">
        <v>538</v>
      </c>
      <c r="G200" s="44">
        <v>-5.9183338030265107</v>
      </c>
      <c r="H200" s="44">
        <v>-76.502760219953259</v>
      </c>
      <c r="I200" s="44" t="s">
        <v>689</v>
      </c>
      <c r="J200" s="45">
        <v>195</v>
      </c>
      <c r="K200" s="46" t="s">
        <v>21</v>
      </c>
      <c r="L200" s="22" t="s">
        <v>21</v>
      </c>
      <c r="M200" s="47" t="s">
        <v>673</v>
      </c>
      <c r="N200" s="41"/>
    </row>
    <row r="201" spans="1:14" s="42" customFormat="1" ht="87.5" customHeight="1" x14ac:dyDescent="0.35">
      <c r="A201" s="22">
        <f t="shared" si="3"/>
        <v>197</v>
      </c>
      <c r="B201" s="34" t="s">
        <v>423</v>
      </c>
      <c r="C201" s="51" t="s">
        <v>422</v>
      </c>
      <c r="D201" s="52" t="s">
        <v>3</v>
      </c>
      <c r="E201" s="52" t="s">
        <v>647</v>
      </c>
      <c r="F201" s="52" t="s">
        <v>115</v>
      </c>
      <c r="G201" s="53">
        <v>-4.2527410777414207</v>
      </c>
      <c r="H201" s="53">
        <v>-76.930192323932658</v>
      </c>
      <c r="I201" s="53" t="s">
        <v>689</v>
      </c>
      <c r="J201" s="22">
        <v>150</v>
      </c>
      <c r="K201" s="54">
        <v>131</v>
      </c>
      <c r="L201" s="22" t="s">
        <v>21</v>
      </c>
      <c r="M201" s="55" t="s">
        <v>757</v>
      </c>
      <c r="N201" s="41"/>
    </row>
    <row r="202" spans="1:14" s="42" customFormat="1" ht="93.5" customHeight="1" x14ac:dyDescent="0.35">
      <c r="A202" s="22">
        <f t="shared" si="3"/>
        <v>198</v>
      </c>
      <c r="B202" s="36" t="s">
        <v>425</v>
      </c>
      <c r="C202" s="43" t="s">
        <v>424</v>
      </c>
      <c r="D202" s="37" t="s">
        <v>3</v>
      </c>
      <c r="E202" s="37" t="s">
        <v>647</v>
      </c>
      <c r="F202" s="37" t="s">
        <v>115</v>
      </c>
      <c r="G202" s="44">
        <v>-4.305272148902187</v>
      </c>
      <c r="H202" s="44">
        <v>-76.916372136535998</v>
      </c>
      <c r="I202" s="44" t="s">
        <v>689</v>
      </c>
      <c r="J202" s="45">
        <v>147</v>
      </c>
      <c r="K202" s="46">
        <v>144</v>
      </c>
      <c r="L202" s="22" t="s">
        <v>652</v>
      </c>
      <c r="M202" s="47" t="s">
        <v>757</v>
      </c>
      <c r="N202" s="41"/>
    </row>
    <row r="203" spans="1:14" s="42" customFormat="1" ht="88.5" customHeight="1" x14ac:dyDescent="0.35">
      <c r="A203" s="22">
        <f t="shared" si="3"/>
        <v>199</v>
      </c>
      <c r="B203" s="36" t="s">
        <v>427</v>
      </c>
      <c r="C203" s="43" t="s">
        <v>426</v>
      </c>
      <c r="D203" s="37" t="s">
        <v>3</v>
      </c>
      <c r="E203" s="37" t="s">
        <v>647</v>
      </c>
      <c r="F203" s="37" t="s">
        <v>115</v>
      </c>
      <c r="G203" s="44">
        <v>-4.2670973334763866</v>
      </c>
      <c r="H203" s="44">
        <v>-76.923779478099675</v>
      </c>
      <c r="I203" s="44" t="s">
        <v>689</v>
      </c>
      <c r="J203" s="45">
        <v>153</v>
      </c>
      <c r="K203" s="46">
        <v>141</v>
      </c>
      <c r="L203" s="22" t="s">
        <v>21</v>
      </c>
      <c r="M203" s="47" t="s">
        <v>759</v>
      </c>
      <c r="N203" s="41"/>
    </row>
    <row r="204" spans="1:14" s="42" customFormat="1" ht="82.5" customHeight="1" x14ac:dyDescent="0.35">
      <c r="A204" s="22">
        <f t="shared" si="3"/>
        <v>200</v>
      </c>
      <c r="B204" s="50" t="s">
        <v>429</v>
      </c>
      <c r="C204" s="43" t="s">
        <v>428</v>
      </c>
      <c r="D204" s="37" t="s">
        <v>3</v>
      </c>
      <c r="E204" s="37" t="s">
        <v>647</v>
      </c>
      <c r="F204" s="37" t="s">
        <v>115</v>
      </c>
      <c r="G204" s="44">
        <v>-4.1775961177087657</v>
      </c>
      <c r="H204" s="44">
        <v>-76.991296821548104</v>
      </c>
      <c r="I204" s="44" t="s">
        <v>689</v>
      </c>
      <c r="J204" s="45">
        <v>169</v>
      </c>
      <c r="K204" s="46">
        <v>137</v>
      </c>
      <c r="L204" s="22" t="s">
        <v>21</v>
      </c>
      <c r="M204" s="47" t="s">
        <v>757</v>
      </c>
      <c r="N204" s="41"/>
    </row>
    <row r="205" spans="1:14" s="42" customFormat="1" ht="93.5" customHeight="1" x14ac:dyDescent="0.35">
      <c r="A205" s="45">
        <f t="shared" si="3"/>
        <v>201</v>
      </c>
      <c r="B205" s="36" t="s">
        <v>431</v>
      </c>
      <c r="C205" s="43" t="s">
        <v>430</v>
      </c>
      <c r="D205" s="37" t="s">
        <v>3</v>
      </c>
      <c r="E205" s="37" t="s">
        <v>647</v>
      </c>
      <c r="F205" s="37" t="s">
        <v>115</v>
      </c>
      <c r="G205" s="44">
        <v>-4.1858279690550155</v>
      </c>
      <c r="H205" s="44">
        <v>-76.975396333692203</v>
      </c>
      <c r="I205" s="44" t="s">
        <v>689</v>
      </c>
      <c r="J205" s="45">
        <v>155</v>
      </c>
      <c r="K205" s="46">
        <v>147</v>
      </c>
      <c r="L205" s="22" t="s">
        <v>21</v>
      </c>
      <c r="M205" s="47" t="s">
        <v>757</v>
      </c>
      <c r="N205" s="41"/>
    </row>
    <row r="206" spans="1:14" s="42" customFormat="1" ht="83.5" customHeight="1" x14ac:dyDescent="0.35">
      <c r="A206" s="22">
        <f t="shared" si="3"/>
        <v>202</v>
      </c>
      <c r="B206" s="36" t="s">
        <v>433</v>
      </c>
      <c r="C206" s="43" t="s">
        <v>432</v>
      </c>
      <c r="D206" s="37" t="s">
        <v>3</v>
      </c>
      <c r="E206" s="37" t="s">
        <v>647</v>
      </c>
      <c r="F206" s="37" t="s">
        <v>115</v>
      </c>
      <c r="G206" s="44">
        <v>-4.1359722166528377</v>
      </c>
      <c r="H206" s="44">
        <v>-76.917028522221955</v>
      </c>
      <c r="I206" s="44" t="s">
        <v>689</v>
      </c>
      <c r="J206" s="45">
        <v>164</v>
      </c>
      <c r="K206" s="46">
        <v>139</v>
      </c>
      <c r="L206" s="22" t="s">
        <v>21</v>
      </c>
      <c r="M206" s="47" t="s">
        <v>757</v>
      </c>
      <c r="N206" s="41"/>
    </row>
    <row r="207" spans="1:14" s="42" customFormat="1" ht="85.5" customHeight="1" x14ac:dyDescent="0.35">
      <c r="A207" s="22">
        <f t="shared" si="3"/>
        <v>203</v>
      </c>
      <c r="B207" s="36" t="s">
        <v>435</v>
      </c>
      <c r="C207" s="43" t="s">
        <v>434</v>
      </c>
      <c r="D207" s="37" t="s">
        <v>3</v>
      </c>
      <c r="E207" s="37" t="s">
        <v>647</v>
      </c>
      <c r="F207" s="37" t="s">
        <v>115</v>
      </c>
      <c r="G207" s="44">
        <v>-4.1917902979458104</v>
      </c>
      <c r="H207" s="44">
        <v>-76.955860549834924</v>
      </c>
      <c r="I207" s="44" t="s">
        <v>689</v>
      </c>
      <c r="J207" s="45">
        <v>152</v>
      </c>
      <c r="K207" s="46">
        <v>154</v>
      </c>
      <c r="L207" s="22" t="s">
        <v>21</v>
      </c>
      <c r="M207" s="47" t="s">
        <v>757</v>
      </c>
      <c r="N207" s="41"/>
    </row>
    <row r="208" spans="1:14" s="42" customFormat="1" ht="86" customHeight="1" x14ac:dyDescent="0.35">
      <c r="A208" s="22">
        <f t="shared" si="3"/>
        <v>204</v>
      </c>
      <c r="B208" s="36" t="s">
        <v>437</v>
      </c>
      <c r="C208" s="43" t="s">
        <v>436</v>
      </c>
      <c r="D208" s="37" t="s">
        <v>3</v>
      </c>
      <c r="E208" s="37" t="s">
        <v>647</v>
      </c>
      <c r="F208" s="37" t="s">
        <v>115</v>
      </c>
      <c r="G208" s="44">
        <v>-4.2144348856522766</v>
      </c>
      <c r="H208" s="44">
        <v>-76.93966159518942</v>
      </c>
      <c r="I208" s="44" t="s">
        <v>689</v>
      </c>
      <c r="J208" s="45">
        <v>153</v>
      </c>
      <c r="K208" s="46">
        <v>143</v>
      </c>
      <c r="L208" s="22" t="s">
        <v>21</v>
      </c>
      <c r="M208" s="47" t="s">
        <v>757</v>
      </c>
      <c r="N208" s="41"/>
    </row>
    <row r="209" spans="1:14" s="42" customFormat="1" ht="93" customHeight="1" x14ac:dyDescent="0.35">
      <c r="A209" s="22">
        <f t="shared" si="3"/>
        <v>205</v>
      </c>
      <c r="B209" s="36" t="s">
        <v>439</v>
      </c>
      <c r="C209" s="43" t="s">
        <v>438</v>
      </c>
      <c r="D209" s="37" t="s">
        <v>3</v>
      </c>
      <c r="E209" s="37" t="s">
        <v>647</v>
      </c>
      <c r="F209" s="37" t="s">
        <v>115</v>
      </c>
      <c r="G209" s="44">
        <v>-4.3443833735797179</v>
      </c>
      <c r="H209" s="44">
        <v>-76.896293635734139</v>
      </c>
      <c r="I209" s="44" t="s">
        <v>689</v>
      </c>
      <c r="J209" s="45">
        <v>144</v>
      </c>
      <c r="K209" s="46">
        <v>140</v>
      </c>
      <c r="L209" s="22" t="s">
        <v>21</v>
      </c>
      <c r="M209" s="47" t="s">
        <v>757</v>
      </c>
      <c r="N209" s="41"/>
    </row>
    <row r="210" spans="1:14" s="42" customFormat="1" ht="85" customHeight="1" x14ac:dyDescent="0.35">
      <c r="A210" s="22">
        <f t="shared" si="3"/>
        <v>206</v>
      </c>
      <c r="B210" s="36" t="s">
        <v>441</v>
      </c>
      <c r="C210" s="43" t="s">
        <v>440</v>
      </c>
      <c r="D210" s="37" t="s">
        <v>3</v>
      </c>
      <c r="E210" s="37" t="s">
        <v>647</v>
      </c>
      <c r="F210" s="37" t="s">
        <v>115</v>
      </c>
      <c r="G210" s="44">
        <v>-4.3539509559757565</v>
      </c>
      <c r="H210" s="44">
        <v>-76.88859797518495</v>
      </c>
      <c r="I210" s="44" t="s">
        <v>689</v>
      </c>
      <c r="J210" s="45">
        <v>143</v>
      </c>
      <c r="K210" s="46">
        <v>144</v>
      </c>
      <c r="L210" s="22" t="s">
        <v>21</v>
      </c>
      <c r="M210" s="47" t="s">
        <v>757</v>
      </c>
      <c r="N210" s="41"/>
    </row>
    <row r="211" spans="1:14" s="42" customFormat="1" ht="95.5" customHeight="1" x14ac:dyDescent="0.35">
      <c r="A211" s="22">
        <f t="shared" si="3"/>
        <v>207</v>
      </c>
      <c r="B211" s="34" t="s">
        <v>443</v>
      </c>
      <c r="C211" s="51" t="s">
        <v>442</v>
      </c>
      <c r="D211" s="52" t="s">
        <v>3</v>
      </c>
      <c r="E211" s="56" t="s">
        <v>647</v>
      </c>
      <c r="F211" s="56" t="s">
        <v>115</v>
      </c>
      <c r="G211" s="53">
        <v>-4.3862201682833657</v>
      </c>
      <c r="H211" s="53">
        <v>-76.856699714939609</v>
      </c>
      <c r="I211" s="53" t="s">
        <v>689</v>
      </c>
      <c r="J211" s="22">
        <v>145</v>
      </c>
      <c r="K211" s="54">
        <v>142</v>
      </c>
      <c r="L211" s="22" t="s">
        <v>21</v>
      </c>
      <c r="M211" s="55" t="s">
        <v>757</v>
      </c>
      <c r="N211" s="41"/>
    </row>
    <row r="212" spans="1:14" s="42" customFormat="1" ht="88" customHeight="1" x14ac:dyDescent="0.35">
      <c r="A212" s="22">
        <f t="shared" si="3"/>
        <v>208</v>
      </c>
      <c r="B212" s="36" t="s">
        <v>445</v>
      </c>
      <c r="C212" s="45" t="s">
        <v>444</v>
      </c>
      <c r="D212" s="60" t="s">
        <v>3</v>
      </c>
      <c r="E212" s="60" t="s">
        <v>647</v>
      </c>
      <c r="F212" s="60" t="s">
        <v>115</v>
      </c>
      <c r="G212" s="44">
        <v>-4.3902893153334785</v>
      </c>
      <c r="H212" s="44">
        <v>-76.856610678900367</v>
      </c>
      <c r="I212" s="44" t="s">
        <v>689</v>
      </c>
      <c r="J212" s="45">
        <v>141</v>
      </c>
      <c r="K212" s="46">
        <v>139</v>
      </c>
      <c r="L212" s="22" t="s">
        <v>21</v>
      </c>
      <c r="M212" s="47" t="s">
        <v>757</v>
      </c>
      <c r="N212" s="41"/>
    </row>
    <row r="213" spans="1:14" s="42" customFormat="1" ht="88.5" customHeight="1" x14ac:dyDescent="0.35">
      <c r="A213" s="22">
        <f t="shared" si="3"/>
        <v>209</v>
      </c>
      <c r="B213" s="36" t="s">
        <v>447</v>
      </c>
      <c r="C213" s="45" t="s">
        <v>446</v>
      </c>
      <c r="D213" s="60" t="s">
        <v>3</v>
      </c>
      <c r="E213" s="60" t="s">
        <v>647</v>
      </c>
      <c r="F213" s="37" t="s">
        <v>364</v>
      </c>
      <c r="G213" s="44">
        <v>-4.2118410404887285</v>
      </c>
      <c r="H213" s="44">
        <v>-76.752784307434936</v>
      </c>
      <c r="I213" s="44" t="s">
        <v>689</v>
      </c>
      <c r="J213" s="45">
        <v>146</v>
      </c>
      <c r="K213" s="46">
        <v>149</v>
      </c>
      <c r="L213" s="22" t="s">
        <v>21</v>
      </c>
      <c r="M213" s="47" t="s">
        <v>758</v>
      </c>
      <c r="N213" s="41"/>
    </row>
    <row r="214" spans="1:14" s="62" customFormat="1" ht="239.5" customHeight="1" x14ac:dyDescent="0.35">
      <c r="A214" s="22">
        <f t="shared" si="3"/>
        <v>210</v>
      </c>
      <c r="B214" s="36" t="s">
        <v>363</v>
      </c>
      <c r="C214" s="45" t="s">
        <v>362</v>
      </c>
      <c r="D214" s="37" t="s">
        <v>3</v>
      </c>
      <c r="E214" s="37" t="s">
        <v>647</v>
      </c>
      <c r="F214" s="37" t="s">
        <v>364</v>
      </c>
      <c r="G214" s="61">
        <v>-3.0800635634890599</v>
      </c>
      <c r="H214" s="61">
        <v>-76.433838220692394</v>
      </c>
      <c r="I214" s="61" t="s">
        <v>689</v>
      </c>
      <c r="J214" s="45">
        <v>205</v>
      </c>
      <c r="K214" s="46">
        <v>189</v>
      </c>
      <c r="L214" s="52" t="s">
        <v>651</v>
      </c>
      <c r="M214" s="47" t="s">
        <v>760</v>
      </c>
      <c r="N214" s="41"/>
    </row>
    <row r="215" spans="1:14" s="42" customFormat="1" ht="94.5" customHeight="1" x14ac:dyDescent="0.35">
      <c r="A215" s="22">
        <f t="shared" si="3"/>
        <v>211</v>
      </c>
      <c r="B215" s="36" t="s">
        <v>366</v>
      </c>
      <c r="C215" s="43" t="s">
        <v>365</v>
      </c>
      <c r="D215" s="37" t="s">
        <v>3</v>
      </c>
      <c r="E215" s="37" t="s">
        <v>647</v>
      </c>
      <c r="F215" s="37" t="s">
        <v>364</v>
      </c>
      <c r="G215" s="44">
        <v>-2.9052635694821234</v>
      </c>
      <c r="H215" s="44">
        <v>-76.392393667794792</v>
      </c>
      <c r="I215" s="44" t="s">
        <v>689</v>
      </c>
      <c r="J215" s="45">
        <v>213</v>
      </c>
      <c r="K215" s="46">
        <v>211</v>
      </c>
      <c r="L215" s="22" t="s">
        <v>652</v>
      </c>
      <c r="M215" s="47" t="s">
        <v>757</v>
      </c>
      <c r="N215" s="41"/>
    </row>
    <row r="216" spans="1:14" s="42" customFormat="1" ht="184.5" customHeight="1" x14ac:dyDescent="0.35">
      <c r="A216" s="22">
        <f t="shared" si="3"/>
        <v>212</v>
      </c>
      <c r="B216" s="36" t="s">
        <v>368</v>
      </c>
      <c r="C216" s="43" t="s">
        <v>367</v>
      </c>
      <c r="D216" s="37" t="s">
        <v>3</v>
      </c>
      <c r="E216" s="37" t="s">
        <v>647</v>
      </c>
      <c r="F216" s="37" t="s">
        <v>364</v>
      </c>
      <c r="G216" s="44">
        <v>-3.3047154711099114</v>
      </c>
      <c r="H216" s="44">
        <v>-76.334737979372477</v>
      </c>
      <c r="I216" s="44" t="s">
        <v>689</v>
      </c>
      <c r="J216" s="45">
        <v>192</v>
      </c>
      <c r="K216" s="46">
        <v>188</v>
      </c>
      <c r="L216" s="22" t="s">
        <v>652</v>
      </c>
      <c r="M216" s="47" t="s">
        <v>761</v>
      </c>
      <c r="N216" s="41"/>
    </row>
    <row r="217" spans="1:14" s="42" customFormat="1" ht="85.5" customHeight="1" x14ac:dyDescent="0.35">
      <c r="A217" s="22">
        <f t="shared" si="3"/>
        <v>213</v>
      </c>
      <c r="B217" s="36" t="s">
        <v>369</v>
      </c>
      <c r="C217" s="43" t="s">
        <v>21</v>
      </c>
      <c r="D217" s="37" t="s">
        <v>3</v>
      </c>
      <c r="E217" s="37" t="s">
        <v>647</v>
      </c>
      <c r="F217" s="37" t="s">
        <v>364</v>
      </c>
      <c r="G217" s="44">
        <v>-3.3211749078551276</v>
      </c>
      <c r="H217" s="44">
        <v>-76.335956940639619</v>
      </c>
      <c r="I217" s="44" t="s">
        <v>689</v>
      </c>
      <c r="J217" s="45">
        <v>193</v>
      </c>
      <c r="K217" s="46">
        <v>191</v>
      </c>
      <c r="L217" s="22" t="s">
        <v>651</v>
      </c>
      <c r="M217" s="47" t="s">
        <v>762</v>
      </c>
      <c r="N217" s="41"/>
    </row>
    <row r="218" spans="1:14" s="42" customFormat="1" ht="83.5" customHeight="1" x14ac:dyDescent="0.35">
      <c r="A218" s="22">
        <f t="shared" si="3"/>
        <v>214</v>
      </c>
      <c r="B218" s="50" t="s">
        <v>370</v>
      </c>
      <c r="C218" s="43" t="s">
        <v>21</v>
      </c>
      <c r="D218" s="37" t="s">
        <v>3</v>
      </c>
      <c r="E218" s="37" t="s">
        <v>647</v>
      </c>
      <c r="F218" s="37" t="s">
        <v>364</v>
      </c>
      <c r="G218" s="44">
        <v>-3.3195785329942491</v>
      </c>
      <c r="H218" s="44">
        <v>-76.339293534637036</v>
      </c>
      <c r="I218" s="44" t="s">
        <v>689</v>
      </c>
      <c r="J218" s="45">
        <v>190</v>
      </c>
      <c r="K218" s="46">
        <v>192</v>
      </c>
      <c r="L218" s="22" t="s">
        <v>652</v>
      </c>
      <c r="M218" s="47" t="s">
        <v>762</v>
      </c>
      <c r="N218" s="41"/>
    </row>
    <row r="219" spans="1:14" s="42" customFormat="1" ht="84.5" customHeight="1" x14ac:dyDescent="0.35">
      <c r="A219" s="45">
        <f t="shared" si="3"/>
        <v>215</v>
      </c>
      <c r="B219" s="36" t="s">
        <v>371</v>
      </c>
      <c r="C219" s="43" t="s">
        <v>21</v>
      </c>
      <c r="D219" s="37" t="s">
        <v>3</v>
      </c>
      <c r="E219" s="37" t="s">
        <v>647</v>
      </c>
      <c r="F219" s="37" t="s">
        <v>364</v>
      </c>
      <c r="G219" s="44">
        <v>-3.3599771408902841</v>
      </c>
      <c r="H219" s="44">
        <v>-76.308515258538534</v>
      </c>
      <c r="I219" s="44" t="s">
        <v>689</v>
      </c>
      <c r="J219" s="45">
        <v>191</v>
      </c>
      <c r="K219" s="46">
        <v>192</v>
      </c>
      <c r="L219" s="22" t="s">
        <v>21</v>
      </c>
      <c r="M219" s="47" t="s">
        <v>762</v>
      </c>
      <c r="N219" s="41"/>
    </row>
    <row r="220" spans="1:14" s="42" customFormat="1" ht="73" customHeight="1" x14ac:dyDescent="0.35">
      <c r="A220" s="22">
        <f t="shared" si="3"/>
        <v>216</v>
      </c>
      <c r="B220" s="36" t="s">
        <v>372</v>
      </c>
      <c r="C220" s="43" t="s">
        <v>21</v>
      </c>
      <c r="D220" s="37" t="s">
        <v>3</v>
      </c>
      <c r="E220" s="37" t="s">
        <v>647</v>
      </c>
      <c r="F220" s="37" t="s">
        <v>364</v>
      </c>
      <c r="G220" s="30">
        <v>-3.7153416213747401</v>
      </c>
      <c r="H220" s="28">
        <v>-76.407029740794997</v>
      </c>
      <c r="I220" s="28" t="s">
        <v>689</v>
      </c>
      <c r="J220" s="45">
        <v>175</v>
      </c>
      <c r="K220" s="46" t="s">
        <v>21</v>
      </c>
      <c r="L220" s="22" t="s">
        <v>21</v>
      </c>
      <c r="M220" s="47" t="s">
        <v>702</v>
      </c>
      <c r="N220" s="41"/>
    </row>
    <row r="221" spans="1:14" s="42" customFormat="1" ht="118.5" customHeight="1" x14ac:dyDescent="0.35">
      <c r="A221" s="22">
        <f t="shared" si="3"/>
        <v>217</v>
      </c>
      <c r="B221" s="36" t="s">
        <v>716</v>
      </c>
      <c r="C221" s="43" t="s">
        <v>373</v>
      </c>
      <c r="D221" s="37" t="s">
        <v>3</v>
      </c>
      <c r="E221" s="37" t="s">
        <v>647</v>
      </c>
      <c r="F221" s="37" t="s">
        <v>364</v>
      </c>
      <c r="G221" s="28">
        <v>-3.3055468832296699</v>
      </c>
      <c r="H221" s="30">
        <v>-76.328520653945006</v>
      </c>
      <c r="I221" s="30" t="s">
        <v>688</v>
      </c>
      <c r="J221" s="45">
        <v>205</v>
      </c>
      <c r="K221" s="46" t="s">
        <v>21</v>
      </c>
      <c r="L221" s="22" t="s">
        <v>21</v>
      </c>
      <c r="M221" s="47" t="s">
        <v>729</v>
      </c>
      <c r="N221" s="41"/>
    </row>
    <row r="222" spans="1:14" s="42" customFormat="1" ht="50.25" customHeight="1" x14ac:dyDescent="0.35">
      <c r="A222" s="22">
        <f t="shared" si="3"/>
        <v>218</v>
      </c>
      <c r="B222" s="36" t="s">
        <v>717</v>
      </c>
      <c r="C222" s="43" t="s">
        <v>21</v>
      </c>
      <c r="D222" s="37" t="s">
        <v>3</v>
      </c>
      <c r="E222" s="37" t="s">
        <v>647</v>
      </c>
      <c r="F222" s="37" t="s">
        <v>364</v>
      </c>
      <c r="G222" s="28">
        <v>-3.3301398242985298</v>
      </c>
      <c r="H222" s="28">
        <v>-76.2872547859197</v>
      </c>
      <c r="I222" s="28" t="s">
        <v>688</v>
      </c>
      <c r="J222" s="45">
        <v>196</v>
      </c>
      <c r="K222" s="46" t="s">
        <v>21</v>
      </c>
      <c r="L222" s="22" t="s">
        <v>21</v>
      </c>
      <c r="M222" s="47" t="s">
        <v>374</v>
      </c>
      <c r="N222" s="41"/>
    </row>
    <row r="223" spans="1:14" s="42" customFormat="1" ht="42.5" customHeight="1" x14ac:dyDescent="0.35">
      <c r="A223" s="22">
        <f t="shared" si="3"/>
        <v>219</v>
      </c>
      <c r="B223" s="36" t="s">
        <v>375</v>
      </c>
      <c r="C223" s="43" t="s">
        <v>21</v>
      </c>
      <c r="D223" s="37" t="s">
        <v>3</v>
      </c>
      <c r="E223" s="37" t="s">
        <v>647</v>
      </c>
      <c r="F223" s="37" t="s">
        <v>364</v>
      </c>
      <c r="G223" s="30">
        <v>-3.6983178540690398</v>
      </c>
      <c r="H223" s="28">
        <v>-76.402951628538602</v>
      </c>
      <c r="I223" s="28" t="s">
        <v>688</v>
      </c>
      <c r="J223" s="45">
        <v>177</v>
      </c>
      <c r="K223" s="46" t="s">
        <v>21</v>
      </c>
      <c r="L223" s="45" t="s">
        <v>651</v>
      </c>
      <c r="M223" s="47" t="s">
        <v>374</v>
      </c>
      <c r="N223" s="41"/>
    </row>
    <row r="224" spans="1:14" s="42" customFormat="1" ht="45" customHeight="1" x14ac:dyDescent="0.35">
      <c r="A224" s="22">
        <f t="shared" si="3"/>
        <v>220</v>
      </c>
      <c r="B224" s="36" t="s">
        <v>376</v>
      </c>
      <c r="C224" s="43" t="s">
        <v>21</v>
      </c>
      <c r="D224" s="37" t="s">
        <v>3</v>
      </c>
      <c r="E224" s="37" t="s">
        <v>647</v>
      </c>
      <c r="F224" s="37" t="s">
        <v>364</v>
      </c>
      <c r="G224" s="30">
        <v>-3.6611510269588998</v>
      </c>
      <c r="H224" s="30">
        <v>-76.364732389456293</v>
      </c>
      <c r="I224" s="30" t="s">
        <v>688</v>
      </c>
      <c r="J224" s="45">
        <v>174</v>
      </c>
      <c r="K224" s="46" t="s">
        <v>21</v>
      </c>
      <c r="L224" s="22" t="s">
        <v>21</v>
      </c>
      <c r="M224" s="47" t="s">
        <v>374</v>
      </c>
      <c r="N224" s="41"/>
    </row>
    <row r="225" spans="1:14" s="42" customFormat="1" ht="48" customHeight="1" x14ac:dyDescent="0.35">
      <c r="A225" s="22">
        <f t="shared" si="3"/>
        <v>221</v>
      </c>
      <c r="B225" s="36" t="s">
        <v>206</v>
      </c>
      <c r="C225" s="43" t="s">
        <v>21</v>
      </c>
      <c r="D225" s="37" t="s">
        <v>3</v>
      </c>
      <c r="E225" s="37" t="s">
        <v>647</v>
      </c>
      <c r="F225" s="37" t="s">
        <v>364</v>
      </c>
      <c r="G225" s="30">
        <v>-3.7474224555228002</v>
      </c>
      <c r="H225" s="30">
        <v>-76.406387545199493</v>
      </c>
      <c r="I225" s="30" t="s">
        <v>688</v>
      </c>
      <c r="J225" s="45">
        <v>165</v>
      </c>
      <c r="K225" s="46" t="s">
        <v>21</v>
      </c>
      <c r="L225" s="22" t="s">
        <v>651</v>
      </c>
      <c r="M225" s="47" t="s">
        <v>374</v>
      </c>
      <c r="N225" s="41"/>
    </row>
    <row r="226" spans="1:14" s="42" customFormat="1" ht="48" customHeight="1" x14ac:dyDescent="0.35">
      <c r="A226" s="22">
        <f t="shared" si="3"/>
        <v>222</v>
      </c>
      <c r="B226" s="36" t="s">
        <v>377</v>
      </c>
      <c r="C226" s="43" t="s">
        <v>21</v>
      </c>
      <c r="D226" s="37" t="s">
        <v>3</v>
      </c>
      <c r="E226" s="37" t="s">
        <v>647</v>
      </c>
      <c r="F226" s="37" t="s">
        <v>364</v>
      </c>
      <c r="G226" s="30">
        <v>-3.75989197957791</v>
      </c>
      <c r="H226" s="30">
        <v>-76.435550979137304</v>
      </c>
      <c r="I226" s="30" t="s">
        <v>688</v>
      </c>
      <c r="J226" s="45">
        <v>167</v>
      </c>
      <c r="K226" s="46" t="s">
        <v>21</v>
      </c>
      <c r="L226" s="22" t="s">
        <v>651</v>
      </c>
      <c r="M226" s="47" t="s">
        <v>374</v>
      </c>
      <c r="N226" s="41"/>
    </row>
    <row r="227" spans="1:14" s="42" customFormat="1" ht="48.75" customHeight="1" x14ac:dyDescent="0.35">
      <c r="A227" s="22">
        <f t="shared" si="3"/>
        <v>223</v>
      </c>
      <c r="B227" s="36" t="s">
        <v>378</v>
      </c>
      <c r="C227" s="43" t="s">
        <v>21</v>
      </c>
      <c r="D227" s="37" t="s">
        <v>3</v>
      </c>
      <c r="E227" s="37" t="s">
        <v>647</v>
      </c>
      <c r="F227" s="37" t="s">
        <v>364</v>
      </c>
      <c r="G227" s="30">
        <v>-3.3645952279532798</v>
      </c>
      <c r="H227" s="30">
        <v>-76.331209848162999</v>
      </c>
      <c r="I227" s="30" t="s">
        <v>688</v>
      </c>
      <c r="J227" s="45">
        <v>198</v>
      </c>
      <c r="K227" s="46" t="s">
        <v>21</v>
      </c>
      <c r="L227" s="22" t="s">
        <v>21</v>
      </c>
      <c r="M227" s="47" t="s">
        <v>374</v>
      </c>
      <c r="N227" s="41"/>
    </row>
    <row r="228" spans="1:14" s="42" customFormat="1" ht="45.5" customHeight="1" x14ac:dyDescent="0.35">
      <c r="A228" s="22">
        <f t="shared" si="3"/>
        <v>224</v>
      </c>
      <c r="B228" s="36" t="s">
        <v>379</v>
      </c>
      <c r="C228" s="43" t="s">
        <v>21</v>
      </c>
      <c r="D228" s="37" t="s">
        <v>3</v>
      </c>
      <c r="E228" s="37" t="s">
        <v>647</v>
      </c>
      <c r="F228" s="37" t="s">
        <v>364</v>
      </c>
      <c r="G228" s="28">
        <v>-3.1160864728115598</v>
      </c>
      <c r="H228" s="28">
        <v>-76.400516051817903</v>
      </c>
      <c r="I228" s="28" t="s">
        <v>688</v>
      </c>
      <c r="J228" s="45">
        <v>206</v>
      </c>
      <c r="K228" s="46" t="s">
        <v>21</v>
      </c>
      <c r="L228" s="22" t="s">
        <v>651</v>
      </c>
      <c r="M228" s="47" t="s">
        <v>374</v>
      </c>
      <c r="N228" s="41"/>
    </row>
    <row r="229" spans="1:14" s="42" customFormat="1" ht="42" customHeight="1" x14ac:dyDescent="0.35">
      <c r="A229" s="22">
        <f t="shared" si="3"/>
        <v>225</v>
      </c>
      <c r="B229" s="36" t="s">
        <v>380</v>
      </c>
      <c r="C229" s="43" t="s">
        <v>21</v>
      </c>
      <c r="D229" s="37" t="s">
        <v>3</v>
      </c>
      <c r="E229" s="37" t="s">
        <v>647</v>
      </c>
      <c r="F229" s="37" t="s">
        <v>364</v>
      </c>
      <c r="G229" s="30">
        <v>-3.15971398371736</v>
      </c>
      <c r="H229" s="30">
        <v>-76.201106178762998</v>
      </c>
      <c r="I229" s="30" t="s">
        <v>688</v>
      </c>
      <c r="J229" s="45">
        <v>205</v>
      </c>
      <c r="K229" s="46" t="s">
        <v>21</v>
      </c>
      <c r="L229" s="22" t="s">
        <v>21</v>
      </c>
      <c r="M229" s="47" t="s">
        <v>374</v>
      </c>
      <c r="N229" s="41"/>
    </row>
    <row r="230" spans="1:14" s="42" customFormat="1" ht="39.5" customHeight="1" x14ac:dyDescent="0.35">
      <c r="A230" s="22">
        <f t="shared" si="3"/>
        <v>226</v>
      </c>
      <c r="B230" s="36" t="s">
        <v>381</v>
      </c>
      <c r="C230" s="43" t="s">
        <v>21</v>
      </c>
      <c r="D230" s="37" t="s">
        <v>3</v>
      </c>
      <c r="E230" s="37" t="s">
        <v>647</v>
      </c>
      <c r="F230" s="37" t="s">
        <v>364</v>
      </c>
      <c r="G230" s="30">
        <v>-3.5426930152655101</v>
      </c>
      <c r="H230" s="30">
        <v>-76.232341509186597</v>
      </c>
      <c r="I230" s="30" t="s">
        <v>688</v>
      </c>
      <c r="J230" s="45">
        <v>184</v>
      </c>
      <c r="K230" s="46" t="s">
        <v>21</v>
      </c>
      <c r="L230" s="22" t="s">
        <v>21</v>
      </c>
      <c r="M230" s="47" t="s">
        <v>374</v>
      </c>
      <c r="N230" s="41"/>
    </row>
    <row r="231" spans="1:14" s="42" customFormat="1" ht="52.5" customHeight="1" x14ac:dyDescent="0.35">
      <c r="A231" s="22">
        <f t="shared" si="3"/>
        <v>227</v>
      </c>
      <c r="B231" s="36" t="s">
        <v>382</v>
      </c>
      <c r="C231" s="43" t="s">
        <v>21</v>
      </c>
      <c r="D231" s="37" t="s">
        <v>3</v>
      </c>
      <c r="E231" s="37" t="s">
        <v>647</v>
      </c>
      <c r="F231" s="37" t="s">
        <v>364</v>
      </c>
      <c r="G231" s="30">
        <v>-3.2983092889562098</v>
      </c>
      <c r="H231" s="28">
        <v>-76.281931056374603</v>
      </c>
      <c r="I231" s="28" t="s">
        <v>688</v>
      </c>
      <c r="J231" s="45">
        <v>201</v>
      </c>
      <c r="K231" s="46" t="s">
        <v>21</v>
      </c>
      <c r="L231" s="22" t="s">
        <v>21</v>
      </c>
      <c r="M231" s="47" t="s">
        <v>374</v>
      </c>
      <c r="N231" s="41"/>
    </row>
    <row r="232" spans="1:14" s="42" customFormat="1" ht="50" customHeight="1" x14ac:dyDescent="0.35">
      <c r="A232" s="45">
        <f t="shared" si="3"/>
        <v>228</v>
      </c>
      <c r="B232" s="50" t="s">
        <v>383</v>
      </c>
      <c r="C232" s="43" t="s">
        <v>21</v>
      </c>
      <c r="D232" s="37" t="s">
        <v>3</v>
      </c>
      <c r="E232" s="37" t="s">
        <v>647</v>
      </c>
      <c r="F232" s="37" t="s">
        <v>364</v>
      </c>
      <c r="G232" s="30">
        <v>-3.32382322840916</v>
      </c>
      <c r="H232" s="30">
        <v>-76.330551897148894</v>
      </c>
      <c r="I232" s="30" t="s">
        <v>688</v>
      </c>
      <c r="J232" s="45">
        <v>184</v>
      </c>
      <c r="K232" s="46" t="s">
        <v>21</v>
      </c>
      <c r="L232" s="22" t="s">
        <v>651</v>
      </c>
      <c r="M232" s="47" t="s">
        <v>374</v>
      </c>
      <c r="N232" s="41"/>
    </row>
    <row r="233" spans="1:14" s="42" customFormat="1" ht="42" customHeight="1" x14ac:dyDescent="0.35">
      <c r="A233" s="45">
        <f t="shared" si="3"/>
        <v>229</v>
      </c>
      <c r="B233" s="50" t="s">
        <v>384</v>
      </c>
      <c r="C233" s="43" t="s">
        <v>21</v>
      </c>
      <c r="D233" s="37" t="s">
        <v>3</v>
      </c>
      <c r="E233" s="37" t="s">
        <v>647</v>
      </c>
      <c r="F233" s="37" t="s">
        <v>364</v>
      </c>
      <c r="G233" s="30">
        <v>-3.1539858799081402</v>
      </c>
      <c r="H233" s="30">
        <v>-76.211096704111597</v>
      </c>
      <c r="I233" s="30" t="s">
        <v>688</v>
      </c>
      <c r="J233" s="45">
        <v>205</v>
      </c>
      <c r="K233" s="46" t="s">
        <v>21</v>
      </c>
      <c r="L233" s="22" t="s">
        <v>21</v>
      </c>
      <c r="M233" s="47" t="s">
        <v>374</v>
      </c>
      <c r="N233" s="41"/>
    </row>
    <row r="234" spans="1:14" s="42" customFormat="1" ht="44" customHeight="1" x14ac:dyDescent="0.35">
      <c r="A234" s="45">
        <f t="shared" si="3"/>
        <v>230</v>
      </c>
      <c r="B234" s="50" t="s">
        <v>385</v>
      </c>
      <c r="C234" s="43" t="s">
        <v>21</v>
      </c>
      <c r="D234" s="37" t="s">
        <v>3</v>
      </c>
      <c r="E234" s="37" t="s">
        <v>647</v>
      </c>
      <c r="F234" s="37" t="s">
        <v>364</v>
      </c>
      <c r="G234" s="30">
        <v>-3.7619886107895999</v>
      </c>
      <c r="H234" s="30">
        <v>-76.436517752529497</v>
      </c>
      <c r="I234" s="30" t="s">
        <v>688</v>
      </c>
      <c r="J234" s="45">
        <v>169</v>
      </c>
      <c r="K234" s="46" t="s">
        <v>21</v>
      </c>
      <c r="L234" s="22" t="s">
        <v>651</v>
      </c>
      <c r="M234" s="47" t="s">
        <v>374</v>
      </c>
      <c r="N234" s="41"/>
    </row>
    <row r="235" spans="1:14" s="42" customFormat="1" ht="46.5" customHeight="1" x14ac:dyDescent="0.35">
      <c r="A235" s="45">
        <f t="shared" si="3"/>
        <v>231</v>
      </c>
      <c r="B235" s="50" t="s">
        <v>386</v>
      </c>
      <c r="C235" s="43" t="s">
        <v>21</v>
      </c>
      <c r="D235" s="37" t="s">
        <v>3</v>
      </c>
      <c r="E235" s="37" t="s">
        <v>647</v>
      </c>
      <c r="F235" s="37" t="s">
        <v>364</v>
      </c>
      <c r="G235" s="28">
        <v>-3.1578978321363702</v>
      </c>
      <c r="H235" s="30">
        <v>-76.433970675297701</v>
      </c>
      <c r="I235" s="30" t="s">
        <v>688</v>
      </c>
      <c r="J235" s="45">
        <v>197</v>
      </c>
      <c r="K235" s="46" t="s">
        <v>21</v>
      </c>
      <c r="L235" s="22" t="s">
        <v>651</v>
      </c>
      <c r="M235" s="47" t="s">
        <v>374</v>
      </c>
      <c r="N235" s="41"/>
    </row>
    <row r="236" spans="1:14" s="42" customFormat="1" ht="47" customHeight="1" x14ac:dyDescent="0.35">
      <c r="A236" s="45">
        <f t="shared" si="3"/>
        <v>232</v>
      </c>
      <c r="B236" s="50" t="s">
        <v>387</v>
      </c>
      <c r="C236" s="43" t="s">
        <v>21</v>
      </c>
      <c r="D236" s="37" t="s">
        <v>3</v>
      </c>
      <c r="E236" s="37" t="s">
        <v>647</v>
      </c>
      <c r="F236" s="37" t="s">
        <v>364</v>
      </c>
      <c r="G236" s="30">
        <v>-3.1627158659187602</v>
      </c>
      <c r="H236" s="30">
        <v>-76.416135090401895</v>
      </c>
      <c r="I236" s="30" t="s">
        <v>688</v>
      </c>
      <c r="J236" s="45">
        <v>213</v>
      </c>
      <c r="K236" s="46" t="s">
        <v>21</v>
      </c>
      <c r="L236" s="22" t="s">
        <v>21</v>
      </c>
      <c r="M236" s="47" t="s">
        <v>374</v>
      </c>
      <c r="N236" s="41"/>
    </row>
    <row r="237" spans="1:14" s="62" customFormat="1" ht="266" customHeight="1" x14ac:dyDescent="0.35">
      <c r="A237" s="45">
        <f t="shared" si="3"/>
        <v>233</v>
      </c>
      <c r="B237" s="36" t="s">
        <v>389</v>
      </c>
      <c r="C237" s="43" t="s">
        <v>388</v>
      </c>
      <c r="D237" s="37" t="s">
        <v>3</v>
      </c>
      <c r="E237" s="37" t="s">
        <v>647</v>
      </c>
      <c r="F237" s="37" t="s">
        <v>364</v>
      </c>
      <c r="G237" s="44">
        <v>-2.8168486526827174</v>
      </c>
      <c r="H237" s="44">
        <v>-76.412435891459367</v>
      </c>
      <c r="I237" s="44" t="s">
        <v>689</v>
      </c>
      <c r="J237" s="45">
        <v>222</v>
      </c>
      <c r="K237" s="46" t="s">
        <v>21</v>
      </c>
      <c r="L237" s="22" t="s">
        <v>21</v>
      </c>
      <c r="M237" s="47" t="s">
        <v>763</v>
      </c>
      <c r="N237" s="41"/>
    </row>
    <row r="238" spans="1:14" s="42" customFormat="1" ht="192.5" customHeight="1" x14ac:dyDescent="0.35">
      <c r="A238" s="22">
        <f t="shared" si="3"/>
        <v>234</v>
      </c>
      <c r="B238" s="36" t="s">
        <v>390</v>
      </c>
      <c r="C238" s="43" t="s">
        <v>21</v>
      </c>
      <c r="D238" s="37" t="s">
        <v>3</v>
      </c>
      <c r="E238" s="37" t="s">
        <v>647</v>
      </c>
      <c r="F238" s="37" t="s">
        <v>364</v>
      </c>
      <c r="G238" s="44">
        <v>-2.8126722151068102</v>
      </c>
      <c r="H238" s="44">
        <v>-76.454796223436233</v>
      </c>
      <c r="I238" s="44" t="s">
        <v>689</v>
      </c>
      <c r="J238" s="45">
        <v>219</v>
      </c>
      <c r="K238" s="46" t="s">
        <v>21</v>
      </c>
      <c r="L238" s="80" t="s">
        <v>21</v>
      </c>
      <c r="M238" s="47" t="s">
        <v>764</v>
      </c>
      <c r="N238" s="41"/>
    </row>
    <row r="239" spans="1:14" s="42" customFormat="1" ht="177" customHeight="1" x14ac:dyDescent="0.35">
      <c r="A239" s="22">
        <f t="shared" si="3"/>
        <v>235</v>
      </c>
      <c r="B239" s="36" t="s">
        <v>391</v>
      </c>
      <c r="C239" s="43" t="s">
        <v>21</v>
      </c>
      <c r="D239" s="37" t="s">
        <v>3</v>
      </c>
      <c r="E239" s="37" t="s">
        <v>647</v>
      </c>
      <c r="F239" s="37" t="s">
        <v>364</v>
      </c>
      <c r="G239" s="44">
        <v>-2.8687191731015118</v>
      </c>
      <c r="H239" s="44">
        <v>-76.389074885034873</v>
      </c>
      <c r="I239" s="44" t="s">
        <v>689</v>
      </c>
      <c r="J239" s="45">
        <v>221</v>
      </c>
      <c r="K239" s="46">
        <v>213</v>
      </c>
      <c r="L239" s="22" t="s">
        <v>21</v>
      </c>
      <c r="M239" s="47" t="s">
        <v>765</v>
      </c>
      <c r="N239" s="41"/>
    </row>
    <row r="240" spans="1:14" s="42" customFormat="1" ht="60.5" customHeight="1" x14ac:dyDescent="0.35">
      <c r="A240" s="22">
        <f t="shared" si="3"/>
        <v>236</v>
      </c>
      <c r="B240" s="36" t="s">
        <v>392</v>
      </c>
      <c r="C240" s="43" t="s">
        <v>21</v>
      </c>
      <c r="D240" s="37" t="s">
        <v>3</v>
      </c>
      <c r="E240" s="37" t="s">
        <v>647</v>
      </c>
      <c r="F240" s="37" t="s">
        <v>364</v>
      </c>
      <c r="G240" s="44">
        <v>-2.9560775856546511</v>
      </c>
      <c r="H240" s="44">
        <v>-76.383145620340841</v>
      </c>
      <c r="I240" s="44" t="s">
        <v>689</v>
      </c>
      <c r="J240" s="45">
        <v>208</v>
      </c>
      <c r="K240" s="46" t="s">
        <v>21</v>
      </c>
      <c r="L240" s="22" t="s">
        <v>652</v>
      </c>
      <c r="M240" s="47" t="s">
        <v>766</v>
      </c>
      <c r="N240" s="41"/>
    </row>
    <row r="241" spans="1:20" s="42" customFormat="1" ht="267.5" customHeight="1" x14ac:dyDescent="0.35">
      <c r="A241" s="22">
        <f t="shared" si="3"/>
        <v>237</v>
      </c>
      <c r="B241" s="36" t="s">
        <v>394</v>
      </c>
      <c r="C241" s="43" t="s">
        <v>393</v>
      </c>
      <c r="D241" s="37" t="s">
        <v>3</v>
      </c>
      <c r="E241" s="37" t="s">
        <v>647</v>
      </c>
      <c r="F241" s="37" t="s">
        <v>364</v>
      </c>
      <c r="G241" s="44">
        <v>-2.8561950975093988</v>
      </c>
      <c r="H241" s="44">
        <v>-76.423843988046656</v>
      </c>
      <c r="I241" s="44" t="s">
        <v>689</v>
      </c>
      <c r="J241" s="45">
        <v>216</v>
      </c>
      <c r="K241" s="46" t="s">
        <v>21</v>
      </c>
      <c r="L241" s="22" t="s">
        <v>21</v>
      </c>
      <c r="M241" s="47" t="s">
        <v>767</v>
      </c>
      <c r="N241" s="41"/>
    </row>
    <row r="242" spans="1:20" s="42" customFormat="1" ht="179" customHeight="1" x14ac:dyDescent="0.35">
      <c r="A242" s="22">
        <f t="shared" si="3"/>
        <v>238</v>
      </c>
      <c r="B242" s="34" t="s">
        <v>395</v>
      </c>
      <c r="C242" s="51" t="s">
        <v>21</v>
      </c>
      <c r="D242" s="52" t="s">
        <v>3</v>
      </c>
      <c r="E242" s="37" t="s">
        <v>647</v>
      </c>
      <c r="F242" s="52" t="s">
        <v>364</v>
      </c>
      <c r="G242" s="53">
        <v>-2.8143908983351169</v>
      </c>
      <c r="H242" s="53">
        <v>-76.454203899583831</v>
      </c>
      <c r="I242" s="53" t="s">
        <v>689</v>
      </c>
      <c r="J242" s="22">
        <v>219</v>
      </c>
      <c r="K242" s="54" t="s">
        <v>21</v>
      </c>
      <c r="L242" s="22" t="s">
        <v>21</v>
      </c>
      <c r="M242" s="55" t="s">
        <v>768</v>
      </c>
      <c r="N242" s="41"/>
    </row>
    <row r="243" spans="1:20" s="42" customFormat="1" ht="57.5" customHeight="1" x14ac:dyDescent="0.35">
      <c r="A243" s="34">
        <f t="shared" si="3"/>
        <v>239</v>
      </c>
      <c r="B243" s="36" t="s">
        <v>396</v>
      </c>
      <c r="C243" s="59" t="s">
        <v>21</v>
      </c>
      <c r="D243" s="37" t="s">
        <v>3</v>
      </c>
      <c r="E243" s="37" t="s">
        <v>647</v>
      </c>
      <c r="F243" s="37" t="s">
        <v>364</v>
      </c>
      <c r="G243" s="44">
        <v>-2.7278544098267168</v>
      </c>
      <c r="H243" s="44">
        <v>-76.624347458391895</v>
      </c>
      <c r="I243" s="44" t="s">
        <v>689</v>
      </c>
      <c r="J243" s="36">
        <v>235</v>
      </c>
      <c r="K243" s="50" t="s">
        <v>21</v>
      </c>
      <c r="L243" s="22" t="s">
        <v>21</v>
      </c>
      <c r="M243" s="47" t="s">
        <v>397</v>
      </c>
      <c r="N243" s="41"/>
    </row>
    <row r="244" spans="1:20" s="62" customFormat="1" ht="38" customHeight="1" x14ac:dyDescent="0.35">
      <c r="A244" s="34">
        <f t="shared" si="3"/>
        <v>240</v>
      </c>
      <c r="B244" s="36" t="s">
        <v>398</v>
      </c>
      <c r="C244" s="59" t="s">
        <v>21</v>
      </c>
      <c r="D244" s="37" t="s">
        <v>3</v>
      </c>
      <c r="E244" s="37" t="s">
        <v>647</v>
      </c>
      <c r="F244" s="37" t="s">
        <v>364</v>
      </c>
      <c r="G244" s="30">
        <v>-2.78980123672275</v>
      </c>
      <c r="H244" s="28">
        <v>-76.488999744808694</v>
      </c>
      <c r="I244" s="28" t="s">
        <v>688</v>
      </c>
      <c r="J244" s="36">
        <v>232</v>
      </c>
      <c r="K244" s="50" t="s">
        <v>21</v>
      </c>
      <c r="L244" s="22" t="s">
        <v>21</v>
      </c>
      <c r="M244" s="47" t="s">
        <v>399</v>
      </c>
      <c r="N244" s="41"/>
    </row>
    <row r="245" spans="1:20" s="42" customFormat="1" ht="40.5" customHeight="1" x14ac:dyDescent="0.35">
      <c r="A245" s="34">
        <f t="shared" si="3"/>
        <v>241</v>
      </c>
      <c r="B245" s="36" t="s">
        <v>400</v>
      </c>
      <c r="C245" s="59" t="s">
        <v>21</v>
      </c>
      <c r="D245" s="37" t="s">
        <v>3</v>
      </c>
      <c r="E245" s="37" t="s">
        <v>647</v>
      </c>
      <c r="F245" s="37" t="s">
        <v>364</v>
      </c>
      <c r="G245" s="44">
        <v>-2.6821813402056609</v>
      </c>
      <c r="H245" s="44">
        <v>-76.613423205106187</v>
      </c>
      <c r="I245" s="44" t="s">
        <v>689</v>
      </c>
      <c r="J245" s="36">
        <v>237</v>
      </c>
      <c r="K245" s="50" t="s">
        <v>21</v>
      </c>
      <c r="L245" s="22" t="s">
        <v>652</v>
      </c>
      <c r="M245" s="47" t="s">
        <v>769</v>
      </c>
      <c r="N245" s="41"/>
    </row>
    <row r="246" spans="1:20" s="42" customFormat="1" ht="65" customHeight="1" x14ac:dyDescent="0.35">
      <c r="A246" s="34">
        <f t="shared" si="3"/>
        <v>242</v>
      </c>
      <c r="B246" s="50" t="s">
        <v>401</v>
      </c>
      <c r="C246" s="59" t="s">
        <v>21</v>
      </c>
      <c r="D246" s="37" t="s">
        <v>3</v>
      </c>
      <c r="E246" s="37" t="s">
        <v>647</v>
      </c>
      <c r="F246" s="37" t="s">
        <v>364</v>
      </c>
      <c r="G246" s="61">
        <v>-2.5980556202627798</v>
      </c>
      <c r="H246" s="61">
        <v>-76.629644728897304</v>
      </c>
      <c r="I246" s="61" t="s">
        <v>689</v>
      </c>
      <c r="J246" s="36">
        <v>234</v>
      </c>
      <c r="K246" s="50" t="s">
        <v>21</v>
      </c>
      <c r="L246" s="22" t="s">
        <v>21</v>
      </c>
      <c r="M246" s="47" t="s">
        <v>402</v>
      </c>
      <c r="N246" s="41"/>
    </row>
    <row r="247" spans="1:20" s="42" customFormat="1" ht="98" customHeight="1" x14ac:dyDescent="0.35">
      <c r="A247" s="36">
        <f t="shared" si="3"/>
        <v>243</v>
      </c>
      <c r="B247" s="36" t="s">
        <v>404</v>
      </c>
      <c r="C247" s="59" t="s">
        <v>403</v>
      </c>
      <c r="D247" s="37" t="s">
        <v>3</v>
      </c>
      <c r="E247" s="37" t="s">
        <v>647</v>
      </c>
      <c r="F247" s="37" t="s">
        <v>364</v>
      </c>
      <c r="G247" s="30">
        <v>-2.7141697747156099</v>
      </c>
      <c r="H247" s="28">
        <v>-76.697729879232895</v>
      </c>
      <c r="I247" s="28" t="s">
        <v>688</v>
      </c>
      <c r="J247" s="36">
        <v>239</v>
      </c>
      <c r="K247" s="50">
        <v>223</v>
      </c>
      <c r="L247" s="22" t="s">
        <v>21</v>
      </c>
      <c r="M247" s="47" t="s">
        <v>724</v>
      </c>
      <c r="N247" s="41"/>
    </row>
    <row r="248" spans="1:20" s="42" customFormat="1" ht="95.5" customHeight="1" x14ac:dyDescent="0.35">
      <c r="A248" s="34">
        <f t="shared" si="3"/>
        <v>244</v>
      </c>
      <c r="B248" s="36" t="s">
        <v>406</v>
      </c>
      <c r="C248" s="59" t="s">
        <v>405</v>
      </c>
      <c r="D248" s="37" t="s">
        <v>3</v>
      </c>
      <c r="E248" s="37" t="s">
        <v>647</v>
      </c>
      <c r="F248" s="37" t="s">
        <v>364</v>
      </c>
      <c r="G248" s="30">
        <v>-2.7261046058131102</v>
      </c>
      <c r="H248" s="28">
        <v>-76.647430630077807</v>
      </c>
      <c r="I248" s="28" t="s">
        <v>688</v>
      </c>
      <c r="J248" s="36">
        <v>247</v>
      </c>
      <c r="K248" s="50">
        <v>228</v>
      </c>
      <c r="L248" s="22" t="s">
        <v>21</v>
      </c>
      <c r="M248" s="47" t="s">
        <v>724</v>
      </c>
      <c r="N248" s="41"/>
    </row>
    <row r="249" spans="1:20" s="42" customFormat="1" ht="97" customHeight="1" x14ac:dyDescent="0.35">
      <c r="A249" s="34">
        <f t="shared" si="3"/>
        <v>245</v>
      </c>
      <c r="B249" s="36" t="s">
        <v>408</v>
      </c>
      <c r="C249" s="59" t="s">
        <v>407</v>
      </c>
      <c r="D249" s="37" t="s">
        <v>3</v>
      </c>
      <c r="E249" s="37" t="s">
        <v>647</v>
      </c>
      <c r="F249" s="37" t="s">
        <v>364</v>
      </c>
      <c r="G249" s="30">
        <v>-2.7782541670677201</v>
      </c>
      <c r="H249" s="30">
        <v>-76.494417741311096</v>
      </c>
      <c r="I249" s="30" t="s">
        <v>688</v>
      </c>
      <c r="J249" s="36">
        <v>225</v>
      </c>
      <c r="K249" s="50">
        <v>214</v>
      </c>
      <c r="L249" s="22" t="s">
        <v>21</v>
      </c>
      <c r="M249" s="47" t="s">
        <v>724</v>
      </c>
      <c r="N249" s="41"/>
    </row>
    <row r="250" spans="1:20" s="42" customFormat="1" ht="103.5" customHeight="1" x14ac:dyDescent="0.35">
      <c r="A250" s="34">
        <f t="shared" si="3"/>
        <v>246</v>
      </c>
      <c r="B250" s="36" t="s">
        <v>410</v>
      </c>
      <c r="C250" s="59" t="s">
        <v>409</v>
      </c>
      <c r="D250" s="37" t="s">
        <v>3</v>
      </c>
      <c r="E250" s="37" t="s">
        <v>647</v>
      </c>
      <c r="F250" s="37" t="s">
        <v>364</v>
      </c>
      <c r="G250" s="30">
        <v>-2.80013191761631</v>
      </c>
      <c r="H250" s="30">
        <v>-76.508251649813104</v>
      </c>
      <c r="I250" s="30" t="s">
        <v>688</v>
      </c>
      <c r="J250" s="36">
        <v>230</v>
      </c>
      <c r="K250" s="50">
        <v>212</v>
      </c>
      <c r="L250" s="22" t="s">
        <v>21</v>
      </c>
      <c r="M250" s="47" t="s">
        <v>724</v>
      </c>
      <c r="N250" s="41"/>
    </row>
    <row r="251" spans="1:20" s="42" customFormat="1" ht="97" customHeight="1" x14ac:dyDescent="0.35">
      <c r="A251" s="34">
        <f t="shared" si="3"/>
        <v>247</v>
      </c>
      <c r="B251" s="36" t="s">
        <v>412</v>
      </c>
      <c r="C251" s="59" t="s">
        <v>411</v>
      </c>
      <c r="D251" s="37" t="s">
        <v>3</v>
      </c>
      <c r="E251" s="37" t="s">
        <v>647</v>
      </c>
      <c r="F251" s="37" t="s">
        <v>364</v>
      </c>
      <c r="G251" s="30">
        <v>-2.8062769312875702</v>
      </c>
      <c r="H251" s="28">
        <v>-76.462477839362705</v>
      </c>
      <c r="I251" s="28" t="s">
        <v>688</v>
      </c>
      <c r="J251" s="36">
        <v>219</v>
      </c>
      <c r="K251" s="50">
        <v>211</v>
      </c>
      <c r="L251" s="22" t="s">
        <v>21</v>
      </c>
      <c r="M251" s="47" t="s">
        <v>724</v>
      </c>
      <c r="N251" s="41"/>
    </row>
    <row r="252" spans="1:20" s="42" customFormat="1" ht="99" customHeight="1" x14ac:dyDescent="0.35">
      <c r="A252" s="34">
        <f t="shared" si="3"/>
        <v>248</v>
      </c>
      <c r="B252" s="36" t="s">
        <v>414</v>
      </c>
      <c r="C252" s="59" t="s">
        <v>413</v>
      </c>
      <c r="D252" s="37" t="s">
        <v>3</v>
      </c>
      <c r="E252" s="37" t="s">
        <v>647</v>
      </c>
      <c r="F252" s="37" t="s">
        <v>364</v>
      </c>
      <c r="G252" s="30">
        <v>-2.8722446076900598</v>
      </c>
      <c r="H252" s="28">
        <v>-76.390608354300895</v>
      </c>
      <c r="I252" s="28" t="s">
        <v>688</v>
      </c>
      <c r="J252" s="36">
        <v>219</v>
      </c>
      <c r="K252" s="50">
        <v>211</v>
      </c>
      <c r="L252" s="22" t="s">
        <v>652</v>
      </c>
      <c r="M252" s="47" t="s">
        <v>724</v>
      </c>
      <c r="N252" s="41"/>
    </row>
    <row r="253" spans="1:20" s="42" customFormat="1" ht="90.75" customHeight="1" x14ac:dyDescent="0.35">
      <c r="A253" s="34">
        <f t="shared" si="3"/>
        <v>249</v>
      </c>
      <c r="B253" s="36" t="s">
        <v>416</v>
      </c>
      <c r="C253" s="59" t="s">
        <v>415</v>
      </c>
      <c r="D253" s="37" t="s">
        <v>3</v>
      </c>
      <c r="E253" s="37" t="s">
        <v>647</v>
      </c>
      <c r="F253" s="37" t="s">
        <v>364</v>
      </c>
      <c r="G253" s="28">
        <v>-2.9047553950956999</v>
      </c>
      <c r="H253" s="30">
        <v>-76.401019787914095</v>
      </c>
      <c r="I253" s="30" t="s">
        <v>688</v>
      </c>
      <c r="J253" s="36">
        <v>214</v>
      </c>
      <c r="K253" s="50">
        <v>203</v>
      </c>
      <c r="L253" s="22" t="s">
        <v>21</v>
      </c>
      <c r="M253" s="47" t="s">
        <v>724</v>
      </c>
      <c r="N253" s="41"/>
    </row>
    <row r="254" spans="1:20" s="42" customFormat="1" ht="101" customHeight="1" x14ac:dyDescent="0.35">
      <c r="A254" s="34">
        <f t="shared" si="3"/>
        <v>250</v>
      </c>
      <c r="B254" s="36" t="s">
        <v>386</v>
      </c>
      <c r="C254" s="59" t="s">
        <v>417</v>
      </c>
      <c r="D254" s="37" t="s">
        <v>3</v>
      </c>
      <c r="E254" s="37" t="s">
        <v>647</v>
      </c>
      <c r="F254" s="37" t="s">
        <v>364</v>
      </c>
      <c r="G254" s="30">
        <v>-3.1602314192124501</v>
      </c>
      <c r="H254" s="28">
        <v>-76.433838915049293</v>
      </c>
      <c r="I254" s="28" t="s">
        <v>688</v>
      </c>
      <c r="J254" s="36">
        <v>197</v>
      </c>
      <c r="K254" s="50">
        <v>185</v>
      </c>
      <c r="L254" s="22" t="s">
        <v>652</v>
      </c>
      <c r="M254" s="47" t="s">
        <v>724</v>
      </c>
      <c r="N254" s="41"/>
    </row>
    <row r="255" spans="1:20" s="81" customFormat="1" ht="104" customHeight="1" x14ac:dyDescent="0.35">
      <c r="A255" s="34">
        <f t="shared" si="3"/>
        <v>251</v>
      </c>
      <c r="B255" s="36" t="s">
        <v>419</v>
      </c>
      <c r="C255" s="59" t="s">
        <v>418</v>
      </c>
      <c r="D255" s="37" t="s">
        <v>3</v>
      </c>
      <c r="E255" s="37" t="s">
        <v>647</v>
      </c>
      <c r="F255" s="37" t="s">
        <v>364</v>
      </c>
      <c r="G255" s="30">
        <v>-3.6658230349793799</v>
      </c>
      <c r="H255" s="28">
        <v>-76.361390536507201</v>
      </c>
      <c r="I255" s="28" t="s">
        <v>688</v>
      </c>
      <c r="J255" s="36">
        <v>179</v>
      </c>
      <c r="K255" s="50">
        <v>164</v>
      </c>
      <c r="L255" s="22" t="s">
        <v>652</v>
      </c>
      <c r="M255" s="47" t="s">
        <v>724</v>
      </c>
      <c r="N255" s="20"/>
      <c r="O255" s="19"/>
      <c r="P255" s="19"/>
      <c r="Q255" s="19"/>
      <c r="R255" s="19"/>
      <c r="S255" s="19"/>
      <c r="T255" s="19"/>
    </row>
    <row r="256" spans="1:20" s="42" customFormat="1" ht="85.5" customHeight="1" x14ac:dyDescent="0.35">
      <c r="A256" s="22">
        <f t="shared" si="3"/>
        <v>252</v>
      </c>
      <c r="B256" s="36" t="s">
        <v>449</v>
      </c>
      <c r="C256" s="45" t="s">
        <v>448</v>
      </c>
      <c r="D256" s="37" t="s">
        <v>3</v>
      </c>
      <c r="E256" s="37" t="s">
        <v>647</v>
      </c>
      <c r="F256" s="37" t="s">
        <v>364</v>
      </c>
      <c r="G256" s="44">
        <v>-4.0726890099000057</v>
      </c>
      <c r="H256" s="44">
        <v>-76.652365157041672</v>
      </c>
      <c r="I256" s="44" t="s">
        <v>689</v>
      </c>
      <c r="J256" s="45">
        <v>155</v>
      </c>
      <c r="K256" s="46">
        <v>155</v>
      </c>
      <c r="L256" s="22" t="s">
        <v>21</v>
      </c>
      <c r="M256" s="47" t="s">
        <v>701</v>
      </c>
      <c r="N256" s="41"/>
    </row>
    <row r="257" spans="1:14" s="42" customFormat="1" ht="90" customHeight="1" x14ac:dyDescent="0.35">
      <c r="A257" s="22">
        <f t="shared" si="3"/>
        <v>253</v>
      </c>
      <c r="B257" s="36" t="s">
        <v>451</v>
      </c>
      <c r="C257" s="43" t="s">
        <v>450</v>
      </c>
      <c r="D257" s="37" t="s">
        <v>3</v>
      </c>
      <c r="E257" s="37" t="s">
        <v>647</v>
      </c>
      <c r="F257" s="37" t="s">
        <v>364</v>
      </c>
      <c r="G257" s="44">
        <v>-3.9941644467945006</v>
      </c>
      <c r="H257" s="44">
        <v>-76.67618599943242</v>
      </c>
      <c r="I257" s="44" t="s">
        <v>689</v>
      </c>
      <c r="J257" s="45">
        <v>163</v>
      </c>
      <c r="K257" s="46">
        <v>149</v>
      </c>
      <c r="L257" s="22" t="s">
        <v>21</v>
      </c>
      <c r="M257" s="47" t="s">
        <v>756</v>
      </c>
      <c r="N257" s="41"/>
    </row>
    <row r="258" spans="1:14" s="42" customFormat="1" ht="83.5" customHeight="1" x14ac:dyDescent="0.35">
      <c r="A258" s="22">
        <f t="shared" si="3"/>
        <v>254</v>
      </c>
      <c r="B258" s="36" t="s">
        <v>453</v>
      </c>
      <c r="C258" s="43" t="s">
        <v>452</v>
      </c>
      <c r="D258" s="37" t="s">
        <v>3</v>
      </c>
      <c r="E258" s="37" t="s">
        <v>647</v>
      </c>
      <c r="F258" s="37" t="s">
        <v>364</v>
      </c>
      <c r="G258" s="44">
        <v>-3.9186134757360396</v>
      </c>
      <c r="H258" s="44">
        <v>-76.732055090990471</v>
      </c>
      <c r="I258" s="44" t="s">
        <v>689</v>
      </c>
      <c r="J258" s="45">
        <v>166</v>
      </c>
      <c r="K258" s="46">
        <v>158</v>
      </c>
      <c r="L258" s="22" t="s">
        <v>21</v>
      </c>
      <c r="M258" s="47" t="s">
        <v>770</v>
      </c>
      <c r="N258" s="41"/>
    </row>
    <row r="259" spans="1:14" s="42" customFormat="1" ht="72.5" x14ac:dyDescent="0.35">
      <c r="A259" s="22">
        <f t="shared" si="3"/>
        <v>255</v>
      </c>
      <c r="B259" s="36" t="s">
        <v>455</v>
      </c>
      <c r="C259" s="43" t="s">
        <v>454</v>
      </c>
      <c r="D259" s="37" t="s">
        <v>3</v>
      </c>
      <c r="E259" s="37" t="s">
        <v>647</v>
      </c>
      <c r="F259" s="37" t="s">
        <v>364</v>
      </c>
      <c r="G259" s="44">
        <v>-3.8003312229445942</v>
      </c>
      <c r="H259" s="44">
        <v>-76.768940595906685</v>
      </c>
      <c r="I259" s="44" t="s">
        <v>689</v>
      </c>
      <c r="J259" s="45">
        <v>169</v>
      </c>
      <c r="K259" s="46">
        <v>170</v>
      </c>
      <c r="L259" s="22" t="s">
        <v>21</v>
      </c>
      <c r="M259" s="47" t="s">
        <v>770</v>
      </c>
      <c r="N259" s="41"/>
    </row>
    <row r="260" spans="1:14" s="42" customFormat="1" ht="84" customHeight="1" x14ac:dyDescent="0.35">
      <c r="A260" s="22">
        <f t="shared" si="3"/>
        <v>256</v>
      </c>
      <c r="B260" s="36" t="s">
        <v>456</v>
      </c>
      <c r="C260" s="43" t="s">
        <v>21</v>
      </c>
      <c r="D260" s="37" t="s">
        <v>3</v>
      </c>
      <c r="E260" s="37" t="s">
        <v>647</v>
      </c>
      <c r="F260" s="37" t="s">
        <v>364</v>
      </c>
      <c r="G260" s="44">
        <v>-3.7995600513575734</v>
      </c>
      <c r="H260" s="44">
        <v>-76.765779274710866</v>
      </c>
      <c r="I260" s="44" t="s">
        <v>689</v>
      </c>
      <c r="J260" s="45">
        <v>169</v>
      </c>
      <c r="K260" s="46">
        <v>170</v>
      </c>
      <c r="L260" s="22" t="s">
        <v>21</v>
      </c>
      <c r="M260" s="47" t="s">
        <v>770</v>
      </c>
      <c r="N260" s="41"/>
    </row>
    <row r="261" spans="1:14" s="42" customFormat="1" ht="92.5" customHeight="1" x14ac:dyDescent="0.35">
      <c r="A261" s="22">
        <f t="shared" si="3"/>
        <v>257</v>
      </c>
      <c r="B261" s="36" t="s">
        <v>458</v>
      </c>
      <c r="C261" s="43" t="s">
        <v>457</v>
      </c>
      <c r="D261" s="37" t="s">
        <v>3</v>
      </c>
      <c r="E261" s="37" t="s">
        <v>647</v>
      </c>
      <c r="F261" s="37" t="s">
        <v>364</v>
      </c>
      <c r="G261" s="44">
        <v>-4.0872443807139884</v>
      </c>
      <c r="H261" s="44">
        <v>-76.627854019554462</v>
      </c>
      <c r="I261" s="44" t="s">
        <v>689</v>
      </c>
      <c r="J261" s="45">
        <v>155</v>
      </c>
      <c r="K261" s="46">
        <v>145</v>
      </c>
      <c r="L261" s="22" t="s">
        <v>652</v>
      </c>
      <c r="M261" s="47" t="s">
        <v>770</v>
      </c>
      <c r="N261" s="41"/>
    </row>
    <row r="262" spans="1:14" s="42" customFormat="1" ht="83.5" customHeight="1" x14ac:dyDescent="0.35">
      <c r="A262" s="22">
        <f t="shared" ref="A262:A325" si="4">+(A261+1)</f>
        <v>258</v>
      </c>
      <c r="B262" s="36" t="s">
        <v>460</v>
      </c>
      <c r="C262" s="45" t="s">
        <v>459</v>
      </c>
      <c r="D262" s="37" t="s">
        <v>3</v>
      </c>
      <c r="E262" s="37" t="s">
        <v>647</v>
      </c>
      <c r="F262" s="37" t="s">
        <v>364</v>
      </c>
      <c r="G262" s="44">
        <v>-3.7853950453970646</v>
      </c>
      <c r="H262" s="44">
        <v>-76.59603738299451</v>
      </c>
      <c r="I262" s="44" t="s">
        <v>689</v>
      </c>
      <c r="J262" s="45">
        <v>169</v>
      </c>
      <c r="K262" s="46">
        <v>165</v>
      </c>
      <c r="L262" s="22" t="s">
        <v>651</v>
      </c>
      <c r="M262" s="47" t="s">
        <v>701</v>
      </c>
      <c r="N262" s="41"/>
    </row>
    <row r="263" spans="1:14" s="42" customFormat="1" ht="91" customHeight="1" x14ac:dyDescent="0.35">
      <c r="A263" s="22">
        <f t="shared" si="4"/>
        <v>259</v>
      </c>
      <c r="B263" s="36" t="s">
        <v>462</v>
      </c>
      <c r="C263" s="43" t="s">
        <v>461</v>
      </c>
      <c r="D263" s="37" t="s">
        <v>3</v>
      </c>
      <c r="E263" s="37" t="s">
        <v>647</v>
      </c>
      <c r="F263" s="37" t="s">
        <v>364</v>
      </c>
      <c r="G263" s="44">
        <v>-3.7861044816611025</v>
      </c>
      <c r="H263" s="44">
        <v>-76.564168576615401</v>
      </c>
      <c r="I263" s="44" t="s">
        <v>689</v>
      </c>
      <c r="J263" s="45">
        <v>170</v>
      </c>
      <c r="K263" s="46">
        <v>163</v>
      </c>
      <c r="L263" s="22" t="s">
        <v>21</v>
      </c>
      <c r="M263" s="47" t="s">
        <v>701</v>
      </c>
      <c r="N263" s="41"/>
    </row>
    <row r="264" spans="1:14" s="42" customFormat="1" ht="87.5" customHeight="1" x14ac:dyDescent="0.35">
      <c r="A264" s="22">
        <f t="shared" si="4"/>
        <v>260</v>
      </c>
      <c r="B264" s="36" t="s">
        <v>464</v>
      </c>
      <c r="C264" s="43" t="s">
        <v>463</v>
      </c>
      <c r="D264" s="37" t="s">
        <v>3</v>
      </c>
      <c r="E264" s="37" t="s">
        <v>647</v>
      </c>
      <c r="F264" s="37" t="s">
        <v>364</v>
      </c>
      <c r="G264" s="44">
        <v>-3.7830144416638967</v>
      </c>
      <c r="H264" s="44">
        <v>-76.567584128188514</v>
      </c>
      <c r="I264" s="44" t="s">
        <v>689</v>
      </c>
      <c r="J264" s="45">
        <v>167</v>
      </c>
      <c r="K264" s="46">
        <v>177</v>
      </c>
      <c r="L264" s="22" t="s">
        <v>21</v>
      </c>
      <c r="M264" s="47" t="s">
        <v>701</v>
      </c>
      <c r="N264" s="41"/>
    </row>
    <row r="265" spans="1:14" s="42" customFormat="1" ht="96.5" customHeight="1" x14ac:dyDescent="0.35">
      <c r="A265" s="22">
        <f t="shared" si="4"/>
        <v>261</v>
      </c>
      <c r="B265" s="36" t="s">
        <v>466</v>
      </c>
      <c r="C265" s="43" t="s">
        <v>465</v>
      </c>
      <c r="D265" s="37" t="s">
        <v>3</v>
      </c>
      <c r="E265" s="37" t="s">
        <v>647</v>
      </c>
      <c r="F265" s="37" t="s">
        <v>364</v>
      </c>
      <c r="G265" s="44">
        <v>-3.7820739673450947</v>
      </c>
      <c r="H265" s="44">
        <v>-76.572534008982061</v>
      </c>
      <c r="I265" s="44" t="s">
        <v>689</v>
      </c>
      <c r="J265" s="45">
        <v>174</v>
      </c>
      <c r="K265" s="46">
        <v>156</v>
      </c>
      <c r="L265" s="22" t="s">
        <v>21</v>
      </c>
      <c r="M265" s="47" t="s">
        <v>701</v>
      </c>
      <c r="N265" s="41"/>
    </row>
    <row r="266" spans="1:14" s="42" customFormat="1" ht="84" customHeight="1" x14ac:dyDescent="0.35">
      <c r="A266" s="22">
        <f t="shared" si="4"/>
        <v>262</v>
      </c>
      <c r="B266" s="36" t="s">
        <v>468</v>
      </c>
      <c r="C266" s="43" t="s">
        <v>467</v>
      </c>
      <c r="D266" s="37" t="s">
        <v>3</v>
      </c>
      <c r="E266" s="37" t="s">
        <v>647</v>
      </c>
      <c r="F266" s="37" t="s">
        <v>364</v>
      </c>
      <c r="G266" s="44">
        <v>-3.7830806394512946</v>
      </c>
      <c r="H266" s="44">
        <v>-76.575938900828788</v>
      </c>
      <c r="I266" s="44" t="s">
        <v>689</v>
      </c>
      <c r="J266" s="45">
        <v>175</v>
      </c>
      <c r="K266" s="46">
        <v>159</v>
      </c>
      <c r="L266" s="22" t="s">
        <v>21</v>
      </c>
      <c r="M266" s="47" t="s">
        <v>701</v>
      </c>
      <c r="N266" s="41"/>
    </row>
    <row r="267" spans="1:14" s="42" customFormat="1" ht="91.5" customHeight="1" x14ac:dyDescent="0.35">
      <c r="A267" s="22">
        <f t="shared" si="4"/>
        <v>263</v>
      </c>
      <c r="B267" s="36" t="s">
        <v>470</v>
      </c>
      <c r="C267" s="43" t="s">
        <v>469</v>
      </c>
      <c r="D267" s="37" t="s">
        <v>3</v>
      </c>
      <c r="E267" s="37" t="s">
        <v>647</v>
      </c>
      <c r="F267" s="37" t="s">
        <v>364</v>
      </c>
      <c r="G267" s="44">
        <v>-3.7782038169370873</v>
      </c>
      <c r="H267" s="44">
        <v>-76.582196026977471</v>
      </c>
      <c r="I267" s="44" t="s">
        <v>689</v>
      </c>
      <c r="J267" s="45">
        <v>170</v>
      </c>
      <c r="K267" s="46">
        <v>151</v>
      </c>
      <c r="L267" s="22" t="s">
        <v>21</v>
      </c>
      <c r="M267" s="47" t="s">
        <v>701</v>
      </c>
      <c r="N267" s="41"/>
    </row>
    <row r="268" spans="1:14" s="42" customFormat="1" ht="96" customHeight="1" x14ac:dyDescent="0.35">
      <c r="A268" s="22">
        <f t="shared" si="4"/>
        <v>264</v>
      </c>
      <c r="B268" s="36" t="s">
        <v>472</v>
      </c>
      <c r="C268" s="43" t="s">
        <v>471</v>
      </c>
      <c r="D268" s="37" t="s">
        <v>3</v>
      </c>
      <c r="E268" s="37" t="s">
        <v>647</v>
      </c>
      <c r="F268" s="37" t="s">
        <v>364</v>
      </c>
      <c r="G268" s="44">
        <v>-3.7797239143934349</v>
      </c>
      <c r="H268" s="44">
        <v>-76.586700166852111</v>
      </c>
      <c r="I268" s="44" t="s">
        <v>689</v>
      </c>
      <c r="J268" s="45">
        <v>166</v>
      </c>
      <c r="K268" s="46">
        <v>156</v>
      </c>
      <c r="L268" s="22" t="s">
        <v>651</v>
      </c>
      <c r="M268" s="47" t="s">
        <v>701</v>
      </c>
      <c r="N268" s="41"/>
    </row>
    <row r="269" spans="1:14" s="42" customFormat="1" ht="85" customHeight="1" x14ac:dyDescent="0.35">
      <c r="A269" s="22">
        <f t="shared" si="4"/>
        <v>265</v>
      </c>
      <c r="B269" s="36" t="s">
        <v>474</v>
      </c>
      <c r="C269" s="43" t="s">
        <v>473</v>
      </c>
      <c r="D269" s="37" t="s">
        <v>3</v>
      </c>
      <c r="E269" s="37" t="s">
        <v>647</v>
      </c>
      <c r="F269" s="37" t="s">
        <v>364</v>
      </c>
      <c r="G269" s="44">
        <v>-3.7783182022013859</v>
      </c>
      <c r="H269" s="44">
        <v>-76.588867272606066</v>
      </c>
      <c r="I269" s="44" t="s">
        <v>689</v>
      </c>
      <c r="J269" s="45">
        <v>162</v>
      </c>
      <c r="K269" s="46">
        <v>174</v>
      </c>
      <c r="L269" s="22" t="s">
        <v>21</v>
      </c>
      <c r="M269" s="47" t="s">
        <v>701</v>
      </c>
      <c r="N269" s="41"/>
    </row>
    <row r="270" spans="1:14" s="42" customFormat="1" ht="94" customHeight="1" x14ac:dyDescent="0.35">
      <c r="A270" s="22">
        <f t="shared" si="4"/>
        <v>266</v>
      </c>
      <c r="B270" s="36" t="s">
        <v>476</v>
      </c>
      <c r="C270" s="43" t="s">
        <v>475</v>
      </c>
      <c r="D270" s="37" t="s">
        <v>3</v>
      </c>
      <c r="E270" s="37" t="s">
        <v>647</v>
      </c>
      <c r="F270" s="60" t="s">
        <v>364</v>
      </c>
      <c r="G270" s="44">
        <v>-3.8098711099178959</v>
      </c>
      <c r="H270" s="44">
        <v>-76.518753881875938</v>
      </c>
      <c r="I270" s="44" t="s">
        <v>689</v>
      </c>
      <c r="J270" s="45">
        <v>165</v>
      </c>
      <c r="K270" s="46">
        <v>163</v>
      </c>
      <c r="L270" s="22" t="s">
        <v>21</v>
      </c>
      <c r="M270" s="47" t="s">
        <v>701</v>
      </c>
      <c r="N270" s="41"/>
    </row>
    <row r="271" spans="1:14" s="42" customFormat="1" ht="89" customHeight="1" x14ac:dyDescent="0.35">
      <c r="A271" s="22">
        <f t="shared" si="4"/>
        <v>267</v>
      </c>
      <c r="B271" s="36" t="s">
        <v>478</v>
      </c>
      <c r="C271" s="45" t="s">
        <v>477</v>
      </c>
      <c r="D271" s="60" t="s">
        <v>3</v>
      </c>
      <c r="E271" s="37" t="s">
        <v>647</v>
      </c>
      <c r="F271" s="37" t="s">
        <v>364</v>
      </c>
      <c r="G271" s="44">
        <v>-3.8143274350147918</v>
      </c>
      <c r="H271" s="44">
        <v>-76.514908240140784</v>
      </c>
      <c r="I271" s="44" t="s">
        <v>689</v>
      </c>
      <c r="J271" s="45">
        <v>171</v>
      </c>
      <c r="K271" s="46">
        <v>168</v>
      </c>
      <c r="L271" s="22" t="s">
        <v>652</v>
      </c>
      <c r="M271" s="47" t="s">
        <v>701</v>
      </c>
      <c r="N271" s="41"/>
    </row>
    <row r="272" spans="1:14" s="42" customFormat="1" ht="86.5" customHeight="1" x14ac:dyDescent="0.35">
      <c r="A272" s="22">
        <f t="shared" si="4"/>
        <v>268</v>
      </c>
      <c r="B272" s="50" t="s">
        <v>480</v>
      </c>
      <c r="C272" s="45" t="s">
        <v>479</v>
      </c>
      <c r="D272" s="37" t="s">
        <v>3</v>
      </c>
      <c r="E272" s="37" t="s">
        <v>647</v>
      </c>
      <c r="F272" s="37" t="s">
        <v>364</v>
      </c>
      <c r="G272" s="44">
        <v>-3.517944538148333</v>
      </c>
      <c r="H272" s="44">
        <v>-76.469856722515132</v>
      </c>
      <c r="I272" s="44" t="s">
        <v>689</v>
      </c>
      <c r="J272" s="45">
        <v>185</v>
      </c>
      <c r="K272" s="46">
        <v>176</v>
      </c>
      <c r="L272" s="22" t="s">
        <v>21</v>
      </c>
      <c r="M272" s="47" t="s">
        <v>701</v>
      </c>
      <c r="N272" s="41"/>
    </row>
    <row r="273" spans="1:14" s="42" customFormat="1" ht="157" customHeight="1" x14ac:dyDescent="0.35">
      <c r="A273" s="45">
        <f t="shared" si="4"/>
        <v>269</v>
      </c>
      <c r="B273" s="36" t="s">
        <v>231</v>
      </c>
      <c r="C273" s="49" t="s">
        <v>657</v>
      </c>
      <c r="D273" s="37" t="s">
        <v>3</v>
      </c>
      <c r="E273" s="37" t="s">
        <v>647</v>
      </c>
      <c r="F273" s="37" t="s">
        <v>364</v>
      </c>
      <c r="G273" s="44">
        <v>-3.6082768716757112</v>
      </c>
      <c r="H273" s="44">
        <v>-76.423947859109816</v>
      </c>
      <c r="I273" s="44" t="s">
        <v>689</v>
      </c>
      <c r="J273" s="45">
        <v>169</v>
      </c>
      <c r="K273" s="46">
        <v>173</v>
      </c>
      <c r="L273" s="22" t="s">
        <v>21</v>
      </c>
      <c r="M273" s="47" t="s">
        <v>730</v>
      </c>
      <c r="N273" s="41"/>
    </row>
    <row r="274" spans="1:14" s="42" customFormat="1" ht="89" customHeight="1" x14ac:dyDescent="0.35">
      <c r="A274" s="22">
        <f t="shared" si="4"/>
        <v>270</v>
      </c>
      <c r="B274" s="36" t="s">
        <v>482</v>
      </c>
      <c r="C274" s="43" t="s">
        <v>481</v>
      </c>
      <c r="D274" s="37" t="s">
        <v>3</v>
      </c>
      <c r="E274" s="37" t="s">
        <v>647</v>
      </c>
      <c r="F274" s="37" t="s">
        <v>364</v>
      </c>
      <c r="G274" s="44">
        <v>-3.4813512985421173</v>
      </c>
      <c r="H274" s="44">
        <v>-76.441475588915893</v>
      </c>
      <c r="I274" s="44" t="s">
        <v>689</v>
      </c>
      <c r="J274" s="45">
        <v>167</v>
      </c>
      <c r="K274" s="46">
        <v>175</v>
      </c>
      <c r="L274" s="22" t="s">
        <v>21</v>
      </c>
      <c r="M274" s="47" t="s">
        <v>757</v>
      </c>
      <c r="N274" s="41"/>
    </row>
    <row r="275" spans="1:14" s="42" customFormat="1" ht="159" customHeight="1" x14ac:dyDescent="0.35">
      <c r="A275" s="22">
        <f t="shared" si="4"/>
        <v>271</v>
      </c>
      <c r="B275" s="38" t="s">
        <v>640</v>
      </c>
      <c r="C275" s="49" t="s">
        <v>658</v>
      </c>
      <c r="D275" s="37" t="s">
        <v>3</v>
      </c>
      <c r="E275" s="37" t="s">
        <v>647</v>
      </c>
      <c r="F275" s="37" t="s">
        <v>364</v>
      </c>
      <c r="G275" s="44">
        <v>-3.4796307854970951</v>
      </c>
      <c r="H275" s="44">
        <v>-76.436963774637675</v>
      </c>
      <c r="I275" s="44" t="s">
        <v>689</v>
      </c>
      <c r="J275" s="45">
        <v>169</v>
      </c>
      <c r="K275" s="46">
        <v>181</v>
      </c>
      <c r="L275" s="22" t="s">
        <v>21</v>
      </c>
      <c r="M275" s="47" t="s">
        <v>771</v>
      </c>
      <c r="N275" s="41"/>
    </row>
    <row r="276" spans="1:14" s="42" customFormat="1" ht="159.5" customHeight="1" x14ac:dyDescent="0.35">
      <c r="A276" s="22">
        <f t="shared" si="4"/>
        <v>272</v>
      </c>
      <c r="B276" s="38" t="s">
        <v>709</v>
      </c>
      <c r="C276" s="49" t="s">
        <v>656</v>
      </c>
      <c r="D276" s="37" t="s">
        <v>3</v>
      </c>
      <c r="E276" s="37" t="s">
        <v>647</v>
      </c>
      <c r="F276" s="37" t="s">
        <v>364</v>
      </c>
      <c r="G276" s="44">
        <v>-3.4762949921560677</v>
      </c>
      <c r="H276" s="44">
        <v>-76.435986682297681</v>
      </c>
      <c r="I276" s="44" t="s">
        <v>689</v>
      </c>
      <c r="J276" s="45">
        <v>165</v>
      </c>
      <c r="K276" s="46">
        <v>172</v>
      </c>
      <c r="L276" s="22" t="s">
        <v>652</v>
      </c>
      <c r="M276" s="47" t="s">
        <v>771</v>
      </c>
      <c r="N276" s="41"/>
    </row>
    <row r="277" spans="1:14" s="42" customFormat="1" ht="180" customHeight="1" x14ac:dyDescent="0.35">
      <c r="A277" s="22">
        <f t="shared" si="4"/>
        <v>273</v>
      </c>
      <c r="B277" s="38" t="s">
        <v>639</v>
      </c>
      <c r="C277" s="49" t="s">
        <v>483</v>
      </c>
      <c r="D277" s="37" t="s">
        <v>3</v>
      </c>
      <c r="E277" s="37" t="s">
        <v>647</v>
      </c>
      <c r="F277" s="37" t="s">
        <v>364</v>
      </c>
      <c r="G277" s="44">
        <v>-3.4740906710261399</v>
      </c>
      <c r="H277" s="44">
        <v>-76.434381284937444</v>
      </c>
      <c r="I277" s="44" t="s">
        <v>689</v>
      </c>
      <c r="J277" s="45">
        <v>165</v>
      </c>
      <c r="K277" s="46">
        <v>173</v>
      </c>
      <c r="L277" s="22" t="s">
        <v>21</v>
      </c>
      <c r="M277" s="47" t="s">
        <v>771</v>
      </c>
      <c r="N277" s="41"/>
    </row>
    <row r="278" spans="1:14" s="42" customFormat="1" ht="124" customHeight="1" x14ac:dyDescent="0.35">
      <c r="A278" s="22">
        <f t="shared" si="4"/>
        <v>274</v>
      </c>
      <c r="B278" s="36" t="s">
        <v>485</v>
      </c>
      <c r="C278" s="43" t="s">
        <v>484</v>
      </c>
      <c r="D278" s="37" t="s">
        <v>3</v>
      </c>
      <c r="E278" s="37" t="s">
        <v>647</v>
      </c>
      <c r="F278" s="37" t="s">
        <v>364</v>
      </c>
      <c r="G278" s="44">
        <v>-3.4886406692711232</v>
      </c>
      <c r="H278" s="44">
        <v>-76.447462991591536</v>
      </c>
      <c r="I278" s="44" t="s">
        <v>689</v>
      </c>
      <c r="J278" s="45">
        <v>169</v>
      </c>
      <c r="K278" s="46">
        <v>169</v>
      </c>
      <c r="L278" s="22" t="s">
        <v>21</v>
      </c>
      <c r="M278" s="47" t="s">
        <v>772</v>
      </c>
      <c r="N278" s="41"/>
    </row>
    <row r="279" spans="1:14" s="42" customFormat="1" ht="103" customHeight="1" x14ac:dyDescent="0.35">
      <c r="A279" s="22">
        <f t="shared" si="4"/>
        <v>275</v>
      </c>
      <c r="B279" s="36" t="s">
        <v>487</v>
      </c>
      <c r="C279" s="43" t="s">
        <v>486</v>
      </c>
      <c r="D279" s="37" t="s">
        <v>3</v>
      </c>
      <c r="E279" s="37" t="s">
        <v>647</v>
      </c>
      <c r="F279" s="37" t="s">
        <v>364</v>
      </c>
      <c r="G279" s="30">
        <v>-3.4833803715874501</v>
      </c>
      <c r="H279" s="30">
        <v>-76.433477292177599</v>
      </c>
      <c r="I279" s="30" t="s">
        <v>688</v>
      </c>
      <c r="J279" s="45">
        <v>176</v>
      </c>
      <c r="K279" s="46">
        <v>164</v>
      </c>
      <c r="L279" s="22" t="s">
        <v>21</v>
      </c>
      <c r="M279" s="47" t="s">
        <v>724</v>
      </c>
      <c r="N279" s="41"/>
    </row>
    <row r="280" spans="1:14" s="42" customFormat="1" ht="113" customHeight="1" x14ac:dyDescent="0.35">
      <c r="A280" s="22">
        <f t="shared" si="4"/>
        <v>276</v>
      </c>
      <c r="B280" s="34" t="s">
        <v>488</v>
      </c>
      <c r="C280" s="51" t="s">
        <v>21</v>
      </c>
      <c r="D280" s="52" t="s">
        <v>3</v>
      </c>
      <c r="E280" s="37" t="s">
        <v>647</v>
      </c>
      <c r="F280" s="52" t="s">
        <v>364</v>
      </c>
      <c r="G280" s="29">
        <v>-2.7754422998992001</v>
      </c>
      <c r="H280" s="29">
        <v>-76.983276529159994</v>
      </c>
      <c r="I280" s="29" t="s">
        <v>689</v>
      </c>
      <c r="J280" s="22">
        <v>248</v>
      </c>
      <c r="K280" s="54" t="s">
        <v>21</v>
      </c>
      <c r="L280" s="22" t="s">
        <v>21</v>
      </c>
      <c r="M280" s="55" t="s">
        <v>773</v>
      </c>
      <c r="N280" s="41"/>
    </row>
    <row r="281" spans="1:14" s="86" customFormat="1" ht="78.5" customHeight="1" x14ac:dyDescent="0.35">
      <c r="A281" s="52">
        <f t="shared" si="4"/>
        <v>277</v>
      </c>
      <c r="B281" s="37" t="s">
        <v>114</v>
      </c>
      <c r="C281" s="82" t="s">
        <v>113</v>
      </c>
      <c r="D281" s="37" t="s">
        <v>3</v>
      </c>
      <c r="E281" s="37" t="s">
        <v>647</v>
      </c>
      <c r="F281" s="37" t="s">
        <v>158</v>
      </c>
      <c r="G281" s="44">
        <v>-4.8106937673277743</v>
      </c>
      <c r="H281" s="44">
        <v>-76.821147773893728</v>
      </c>
      <c r="I281" s="44" t="s">
        <v>689</v>
      </c>
      <c r="J281" s="37">
        <v>136</v>
      </c>
      <c r="K281" s="83" t="s">
        <v>21</v>
      </c>
      <c r="L281" s="52" t="s">
        <v>652</v>
      </c>
      <c r="M281" s="84" t="s">
        <v>757</v>
      </c>
      <c r="N281" s="85"/>
    </row>
    <row r="282" spans="1:14" s="86" customFormat="1" ht="50.5" customHeight="1" x14ac:dyDescent="0.35">
      <c r="A282" s="52">
        <f t="shared" si="4"/>
        <v>278</v>
      </c>
      <c r="B282" s="60" t="s">
        <v>157</v>
      </c>
      <c r="C282" s="60" t="s">
        <v>156</v>
      </c>
      <c r="D282" s="37" t="s">
        <v>3</v>
      </c>
      <c r="E282" s="37" t="s">
        <v>647</v>
      </c>
      <c r="F282" s="37" t="s">
        <v>158</v>
      </c>
      <c r="G282" s="28">
        <v>-4.9715367930841898</v>
      </c>
      <c r="H282" s="28">
        <v>-77.4264511409351</v>
      </c>
      <c r="I282" s="28" t="s">
        <v>689</v>
      </c>
      <c r="J282" s="37">
        <v>175</v>
      </c>
      <c r="K282" s="83" t="s">
        <v>21</v>
      </c>
      <c r="L282" s="52" t="s">
        <v>21</v>
      </c>
      <c r="M282" s="84" t="s">
        <v>703</v>
      </c>
      <c r="N282" s="85"/>
    </row>
    <row r="283" spans="1:14" s="42" customFormat="1" ht="42" customHeight="1" x14ac:dyDescent="0.35">
      <c r="A283" s="22">
        <f t="shared" si="4"/>
        <v>279</v>
      </c>
      <c r="B283" s="36" t="s">
        <v>254</v>
      </c>
      <c r="C283" s="45" t="s">
        <v>21</v>
      </c>
      <c r="D283" s="60" t="s">
        <v>3</v>
      </c>
      <c r="E283" s="37" t="s">
        <v>647</v>
      </c>
      <c r="F283" s="37" t="s">
        <v>313</v>
      </c>
      <c r="G283" s="44">
        <v>-4.7423333978906861</v>
      </c>
      <c r="H283" s="44">
        <v>-73.983266704206088</v>
      </c>
      <c r="I283" s="44" t="s">
        <v>689</v>
      </c>
      <c r="J283" s="45">
        <v>116</v>
      </c>
      <c r="K283" s="46" t="s">
        <v>21</v>
      </c>
      <c r="L283" s="22" t="s">
        <v>21</v>
      </c>
      <c r="M283" s="69" t="s">
        <v>774</v>
      </c>
      <c r="N283" s="41"/>
    </row>
    <row r="284" spans="1:14" s="42" customFormat="1" ht="72" customHeight="1" x14ac:dyDescent="0.35">
      <c r="A284" s="22">
        <f t="shared" si="4"/>
        <v>280</v>
      </c>
      <c r="B284" s="36" t="s">
        <v>312</v>
      </c>
      <c r="C284" s="45" t="s">
        <v>311</v>
      </c>
      <c r="D284" s="37" t="s">
        <v>3</v>
      </c>
      <c r="E284" s="37" t="s">
        <v>647</v>
      </c>
      <c r="F284" s="37" t="s">
        <v>313</v>
      </c>
      <c r="G284" s="44">
        <v>-4.3236263600900458</v>
      </c>
      <c r="H284" s="44">
        <v>-77.214691647240585</v>
      </c>
      <c r="I284" s="44" t="s">
        <v>689</v>
      </c>
      <c r="J284" s="45">
        <v>151</v>
      </c>
      <c r="K284" s="46">
        <v>145</v>
      </c>
      <c r="L284" s="22" t="s">
        <v>21</v>
      </c>
      <c r="M284" s="47" t="s">
        <v>731</v>
      </c>
      <c r="N284" s="41"/>
    </row>
    <row r="285" spans="1:14" s="42" customFormat="1" ht="93.75" customHeight="1" x14ac:dyDescent="0.35">
      <c r="A285" s="22">
        <f t="shared" si="4"/>
        <v>281</v>
      </c>
      <c r="B285" s="36" t="s">
        <v>315</v>
      </c>
      <c r="C285" s="43" t="s">
        <v>314</v>
      </c>
      <c r="D285" s="37" t="s">
        <v>3</v>
      </c>
      <c r="E285" s="37" t="s">
        <v>647</v>
      </c>
      <c r="F285" s="37" t="s">
        <v>313</v>
      </c>
      <c r="G285" s="44">
        <v>-4.3654713568247727</v>
      </c>
      <c r="H285" s="44">
        <v>-77.212129980370619</v>
      </c>
      <c r="I285" s="44" t="s">
        <v>689</v>
      </c>
      <c r="J285" s="45">
        <v>148</v>
      </c>
      <c r="K285" s="46">
        <v>145</v>
      </c>
      <c r="L285" s="22" t="s">
        <v>21</v>
      </c>
      <c r="M285" s="47" t="s">
        <v>775</v>
      </c>
      <c r="N285" s="41"/>
    </row>
    <row r="286" spans="1:14" s="42" customFormat="1" ht="92.25" customHeight="1" x14ac:dyDescent="0.35">
      <c r="A286" s="34">
        <f t="shared" si="4"/>
        <v>282</v>
      </c>
      <c r="B286" s="36" t="s">
        <v>317</v>
      </c>
      <c r="C286" s="59" t="s">
        <v>316</v>
      </c>
      <c r="D286" s="37" t="s">
        <v>3</v>
      </c>
      <c r="E286" s="37" t="s">
        <v>647</v>
      </c>
      <c r="F286" s="37" t="s">
        <v>313</v>
      </c>
      <c r="G286" s="44">
        <v>-4.1156492489629146</v>
      </c>
      <c r="H286" s="44">
        <v>-77.227894975245903</v>
      </c>
      <c r="I286" s="44" t="s">
        <v>689</v>
      </c>
      <c r="J286" s="36">
        <v>164</v>
      </c>
      <c r="K286" s="50">
        <v>143</v>
      </c>
      <c r="L286" s="22" t="s">
        <v>21</v>
      </c>
      <c r="M286" s="47" t="s">
        <v>775</v>
      </c>
      <c r="N286" s="41"/>
    </row>
    <row r="287" spans="1:14" s="42" customFormat="1" ht="53" customHeight="1" x14ac:dyDescent="0.35">
      <c r="A287" s="22">
        <f t="shared" si="4"/>
        <v>283</v>
      </c>
      <c r="B287" s="36" t="s">
        <v>319</v>
      </c>
      <c r="C287" s="43" t="s">
        <v>318</v>
      </c>
      <c r="D287" s="37" t="s">
        <v>3</v>
      </c>
      <c r="E287" s="37" t="s">
        <v>647</v>
      </c>
      <c r="F287" s="37" t="s">
        <v>313</v>
      </c>
      <c r="G287" s="44">
        <v>-4.1099039066902554</v>
      </c>
      <c r="H287" s="44">
        <v>-77.193874378147697</v>
      </c>
      <c r="I287" s="44" t="s">
        <v>689</v>
      </c>
      <c r="J287" s="45">
        <v>160</v>
      </c>
      <c r="K287" s="46">
        <v>144</v>
      </c>
      <c r="L287" s="22" t="s">
        <v>21</v>
      </c>
      <c r="M287" s="47" t="s">
        <v>703</v>
      </c>
      <c r="N287" s="41"/>
    </row>
    <row r="288" spans="1:14" s="42" customFormat="1" ht="90" customHeight="1" x14ac:dyDescent="0.35">
      <c r="A288" s="22">
        <f t="shared" si="4"/>
        <v>284</v>
      </c>
      <c r="B288" s="36" t="s">
        <v>321</v>
      </c>
      <c r="C288" s="43" t="s">
        <v>320</v>
      </c>
      <c r="D288" s="37" t="s">
        <v>3</v>
      </c>
      <c r="E288" s="37" t="s">
        <v>647</v>
      </c>
      <c r="F288" s="37" t="s">
        <v>313</v>
      </c>
      <c r="G288" s="44">
        <v>-3.9233365198410799</v>
      </c>
      <c r="H288" s="44">
        <v>-77.239406998178652</v>
      </c>
      <c r="I288" s="44" t="s">
        <v>689</v>
      </c>
      <c r="J288" s="45">
        <v>177</v>
      </c>
      <c r="K288" s="46">
        <v>160</v>
      </c>
      <c r="L288" s="22" t="s">
        <v>21</v>
      </c>
      <c r="M288" s="47" t="s">
        <v>757</v>
      </c>
      <c r="N288" s="41"/>
    </row>
    <row r="289" spans="1:14" s="42" customFormat="1" ht="88.5" customHeight="1" x14ac:dyDescent="0.35">
      <c r="A289" s="22">
        <f t="shared" si="4"/>
        <v>285</v>
      </c>
      <c r="B289" s="36" t="s">
        <v>323</v>
      </c>
      <c r="C289" s="43" t="s">
        <v>322</v>
      </c>
      <c r="D289" s="37" t="s">
        <v>3</v>
      </c>
      <c r="E289" s="37" t="s">
        <v>647</v>
      </c>
      <c r="F289" s="37" t="s">
        <v>313</v>
      </c>
      <c r="G289" s="44">
        <v>-3.9346202720455805</v>
      </c>
      <c r="H289" s="44">
        <v>-77.184377105334846</v>
      </c>
      <c r="I289" s="44" t="s">
        <v>689</v>
      </c>
      <c r="J289" s="45">
        <v>172</v>
      </c>
      <c r="K289" s="46">
        <v>155</v>
      </c>
      <c r="L289" s="22" t="s">
        <v>21</v>
      </c>
      <c r="M289" s="47" t="s">
        <v>757</v>
      </c>
      <c r="N289" s="41"/>
    </row>
    <row r="290" spans="1:14" s="42" customFormat="1" ht="92.25" customHeight="1" x14ac:dyDescent="0.35">
      <c r="A290" s="22">
        <f t="shared" si="4"/>
        <v>286</v>
      </c>
      <c r="B290" s="36" t="s">
        <v>325</v>
      </c>
      <c r="C290" s="43" t="s">
        <v>324</v>
      </c>
      <c r="D290" s="37" t="s">
        <v>3</v>
      </c>
      <c r="E290" s="37" t="s">
        <v>647</v>
      </c>
      <c r="F290" s="37" t="s">
        <v>313</v>
      </c>
      <c r="G290" s="44">
        <v>-3.9862638818222016</v>
      </c>
      <c r="H290" s="44">
        <v>-77.222797038393736</v>
      </c>
      <c r="I290" s="44" t="s">
        <v>689</v>
      </c>
      <c r="J290" s="45">
        <v>171</v>
      </c>
      <c r="K290" s="46">
        <v>159</v>
      </c>
      <c r="L290" s="22" t="s">
        <v>21</v>
      </c>
      <c r="M290" s="47" t="s">
        <v>757</v>
      </c>
      <c r="N290" s="41"/>
    </row>
    <row r="291" spans="1:14" s="2" customFormat="1" ht="80" customHeight="1" x14ac:dyDescent="0.35">
      <c r="A291" s="22">
        <f t="shared" si="4"/>
        <v>287</v>
      </c>
      <c r="B291" s="36" t="s">
        <v>327</v>
      </c>
      <c r="C291" s="43" t="s">
        <v>326</v>
      </c>
      <c r="D291" s="37" t="s">
        <v>3</v>
      </c>
      <c r="E291" s="37" t="s">
        <v>647</v>
      </c>
      <c r="F291" s="37" t="s">
        <v>313</v>
      </c>
      <c r="G291" s="44">
        <v>-3.8905367296461124</v>
      </c>
      <c r="H291" s="44">
        <v>-77.260660028238178</v>
      </c>
      <c r="I291" s="44" t="s">
        <v>689</v>
      </c>
      <c r="J291" s="45">
        <v>184</v>
      </c>
      <c r="K291" s="46">
        <v>155</v>
      </c>
      <c r="L291" s="22" t="s">
        <v>21</v>
      </c>
      <c r="M291" s="47" t="s">
        <v>757</v>
      </c>
      <c r="N291" s="7"/>
    </row>
    <row r="292" spans="1:14" s="62" customFormat="1" ht="83.5" customHeight="1" x14ac:dyDescent="0.35">
      <c r="A292" s="22">
        <f t="shared" si="4"/>
        <v>288</v>
      </c>
      <c r="B292" s="36" t="s">
        <v>329</v>
      </c>
      <c r="C292" s="51" t="s">
        <v>328</v>
      </c>
      <c r="D292" s="87" t="s">
        <v>3</v>
      </c>
      <c r="E292" s="37" t="s">
        <v>647</v>
      </c>
      <c r="F292" s="37" t="s">
        <v>313</v>
      </c>
      <c r="G292" s="44">
        <v>-3.8528726847207704</v>
      </c>
      <c r="H292" s="44">
        <v>-77.268903028349683</v>
      </c>
      <c r="I292" s="44" t="s">
        <v>689</v>
      </c>
      <c r="J292" s="45">
        <v>190</v>
      </c>
      <c r="K292" s="46">
        <v>181</v>
      </c>
      <c r="L292" s="22" t="s">
        <v>21</v>
      </c>
      <c r="M292" s="47" t="s">
        <v>757</v>
      </c>
      <c r="N292" s="41"/>
    </row>
    <row r="293" spans="1:14" s="42" customFormat="1" ht="83.5" customHeight="1" x14ac:dyDescent="0.35">
      <c r="A293" s="22">
        <f t="shared" si="4"/>
        <v>289</v>
      </c>
      <c r="B293" s="36" t="s">
        <v>331</v>
      </c>
      <c r="C293" s="43" t="s">
        <v>330</v>
      </c>
      <c r="D293" s="37" t="s">
        <v>3</v>
      </c>
      <c r="E293" s="37" t="s">
        <v>647</v>
      </c>
      <c r="F293" s="37" t="s">
        <v>313</v>
      </c>
      <c r="G293" s="44">
        <v>-3.811513639844232</v>
      </c>
      <c r="H293" s="44">
        <v>-77.320261164525022</v>
      </c>
      <c r="I293" s="44" t="s">
        <v>689</v>
      </c>
      <c r="J293" s="45">
        <v>167</v>
      </c>
      <c r="K293" s="46">
        <v>181</v>
      </c>
      <c r="L293" s="22" t="s">
        <v>652</v>
      </c>
      <c r="M293" s="47" t="s">
        <v>757</v>
      </c>
      <c r="N293" s="41"/>
    </row>
    <row r="294" spans="1:14" s="42" customFormat="1" ht="85" customHeight="1" x14ac:dyDescent="0.35">
      <c r="A294" s="22">
        <f t="shared" si="4"/>
        <v>290</v>
      </c>
      <c r="B294" s="36" t="s">
        <v>333</v>
      </c>
      <c r="C294" s="43" t="s">
        <v>332</v>
      </c>
      <c r="D294" s="37" t="s">
        <v>3</v>
      </c>
      <c r="E294" s="37" t="s">
        <v>647</v>
      </c>
      <c r="F294" s="37" t="s">
        <v>313</v>
      </c>
      <c r="G294" s="44">
        <v>-3.7743553974187121</v>
      </c>
      <c r="H294" s="44">
        <v>-77.335882802264535</v>
      </c>
      <c r="I294" s="44" t="s">
        <v>689</v>
      </c>
      <c r="J294" s="45">
        <v>173</v>
      </c>
      <c r="K294" s="46">
        <v>160</v>
      </c>
      <c r="L294" s="22" t="s">
        <v>21</v>
      </c>
      <c r="M294" s="47" t="s">
        <v>757</v>
      </c>
      <c r="N294" s="41"/>
    </row>
    <row r="295" spans="1:14" s="42" customFormat="1" ht="86" customHeight="1" x14ac:dyDescent="0.35">
      <c r="A295" s="22">
        <f t="shared" si="4"/>
        <v>291</v>
      </c>
      <c r="B295" s="36" t="s">
        <v>335</v>
      </c>
      <c r="C295" s="43" t="s">
        <v>334</v>
      </c>
      <c r="D295" s="37" t="s">
        <v>3</v>
      </c>
      <c r="E295" s="37" t="s">
        <v>647</v>
      </c>
      <c r="F295" s="37" t="s">
        <v>313</v>
      </c>
      <c r="G295" s="44">
        <v>-3.728814885630686</v>
      </c>
      <c r="H295" s="44">
        <v>-77.349376041511164</v>
      </c>
      <c r="I295" s="44" t="s">
        <v>689</v>
      </c>
      <c r="J295" s="45">
        <v>184</v>
      </c>
      <c r="K295" s="46">
        <v>163</v>
      </c>
      <c r="L295" s="22" t="s">
        <v>21</v>
      </c>
      <c r="M295" s="47" t="s">
        <v>757</v>
      </c>
      <c r="N295" s="41"/>
    </row>
    <row r="296" spans="1:14" s="42" customFormat="1" ht="92.5" customHeight="1" x14ac:dyDescent="0.35">
      <c r="A296" s="22">
        <f t="shared" si="4"/>
        <v>292</v>
      </c>
      <c r="B296" s="36" t="s">
        <v>337</v>
      </c>
      <c r="C296" s="43" t="s">
        <v>336</v>
      </c>
      <c r="D296" s="37" t="s">
        <v>3</v>
      </c>
      <c r="E296" s="37" t="s">
        <v>647</v>
      </c>
      <c r="F296" s="37" t="s">
        <v>313</v>
      </c>
      <c r="G296" s="44">
        <v>-3.4965559329758893</v>
      </c>
      <c r="H296" s="44">
        <v>-77.543344540482494</v>
      </c>
      <c r="I296" s="44" t="s">
        <v>689</v>
      </c>
      <c r="J296" s="45">
        <v>192</v>
      </c>
      <c r="K296" s="46">
        <v>180</v>
      </c>
      <c r="L296" s="22" t="s">
        <v>21</v>
      </c>
      <c r="M296" s="47" t="s">
        <v>757</v>
      </c>
      <c r="N296" s="41"/>
    </row>
    <row r="297" spans="1:14" s="42" customFormat="1" ht="82.5" customHeight="1" x14ac:dyDescent="0.35">
      <c r="A297" s="22">
        <f t="shared" si="4"/>
        <v>293</v>
      </c>
      <c r="B297" s="36" t="s">
        <v>339</v>
      </c>
      <c r="C297" s="43" t="s">
        <v>338</v>
      </c>
      <c r="D297" s="37" t="s">
        <v>3</v>
      </c>
      <c r="E297" s="37" t="s">
        <v>647</v>
      </c>
      <c r="F297" s="37" t="s">
        <v>313</v>
      </c>
      <c r="G297" s="44">
        <v>-3.4310400409419275</v>
      </c>
      <c r="H297" s="44">
        <v>-77.599811990456701</v>
      </c>
      <c r="I297" s="44" t="s">
        <v>689</v>
      </c>
      <c r="J297" s="45">
        <v>197</v>
      </c>
      <c r="K297" s="46">
        <v>182</v>
      </c>
      <c r="L297" s="22" t="s">
        <v>21</v>
      </c>
      <c r="M297" s="47" t="s">
        <v>757</v>
      </c>
      <c r="N297" s="41"/>
    </row>
    <row r="298" spans="1:14" s="42" customFormat="1" ht="87" customHeight="1" x14ac:dyDescent="0.35">
      <c r="A298" s="22">
        <f t="shared" si="4"/>
        <v>294</v>
      </c>
      <c r="B298" s="36" t="s">
        <v>341</v>
      </c>
      <c r="C298" s="43" t="s">
        <v>340</v>
      </c>
      <c r="D298" s="37" t="s">
        <v>3</v>
      </c>
      <c r="E298" s="37" t="s">
        <v>647</v>
      </c>
      <c r="F298" s="37" t="s">
        <v>313</v>
      </c>
      <c r="G298" s="44">
        <v>-3.2537343828660772</v>
      </c>
      <c r="H298" s="44">
        <v>-77.629170747915566</v>
      </c>
      <c r="I298" s="44" t="s">
        <v>689</v>
      </c>
      <c r="J298" s="45">
        <v>215</v>
      </c>
      <c r="K298" s="46">
        <v>195</v>
      </c>
      <c r="L298" s="22" t="s">
        <v>21</v>
      </c>
      <c r="M298" s="47" t="s">
        <v>757</v>
      </c>
      <c r="N298" s="41"/>
    </row>
    <row r="299" spans="1:14" s="42" customFormat="1" ht="90" customHeight="1" x14ac:dyDescent="0.35">
      <c r="A299" s="22">
        <f t="shared" si="4"/>
        <v>295</v>
      </c>
      <c r="B299" s="36" t="s">
        <v>343</v>
      </c>
      <c r="C299" s="43" t="s">
        <v>342</v>
      </c>
      <c r="D299" s="37" t="s">
        <v>3</v>
      </c>
      <c r="E299" s="37" t="s">
        <v>647</v>
      </c>
      <c r="F299" s="37" t="s">
        <v>313</v>
      </c>
      <c r="G299" s="44">
        <v>-3.3629699774664994</v>
      </c>
      <c r="H299" s="44">
        <v>-77.565150567553843</v>
      </c>
      <c r="I299" s="44" t="s">
        <v>689</v>
      </c>
      <c r="J299" s="45">
        <v>205</v>
      </c>
      <c r="K299" s="46">
        <v>202</v>
      </c>
      <c r="L299" s="22" t="s">
        <v>21</v>
      </c>
      <c r="M299" s="47" t="s">
        <v>757</v>
      </c>
      <c r="N299" s="41"/>
    </row>
    <row r="300" spans="1:14" s="42" customFormat="1" ht="80.5" customHeight="1" x14ac:dyDescent="0.35">
      <c r="A300" s="22">
        <f t="shared" si="4"/>
        <v>296</v>
      </c>
      <c r="B300" s="36" t="s">
        <v>345</v>
      </c>
      <c r="C300" s="43" t="s">
        <v>344</v>
      </c>
      <c r="D300" s="37" t="s">
        <v>3</v>
      </c>
      <c r="E300" s="37" t="s">
        <v>647</v>
      </c>
      <c r="F300" s="37" t="s">
        <v>313</v>
      </c>
      <c r="G300" s="44">
        <v>-3.311645705357531</v>
      </c>
      <c r="H300" s="44">
        <v>-77.581626717350915</v>
      </c>
      <c r="I300" s="44" t="s">
        <v>689</v>
      </c>
      <c r="J300" s="45">
        <v>198</v>
      </c>
      <c r="K300" s="46">
        <v>183</v>
      </c>
      <c r="L300" s="22" t="s">
        <v>21</v>
      </c>
      <c r="M300" s="47" t="s">
        <v>757</v>
      </c>
      <c r="N300" s="41"/>
    </row>
    <row r="301" spans="1:14" s="42" customFormat="1" ht="86" customHeight="1" x14ac:dyDescent="0.35">
      <c r="A301" s="22">
        <f t="shared" si="4"/>
        <v>297</v>
      </c>
      <c r="B301" s="36" t="s">
        <v>347</v>
      </c>
      <c r="C301" s="43" t="s">
        <v>346</v>
      </c>
      <c r="D301" s="37" t="s">
        <v>3</v>
      </c>
      <c r="E301" s="37" t="s">
        <v>647</v>
      </c>
      <c r="F301" s="37" t="s">
        <v>313</v>
      </c>
      <c r="G301" s="44">
        <v>-3.19256781605971</v>
      </c>
      <c r="H301" s="44">
        <v>-77.601194720861102</v>
      </c>
      <c r="I301" s="44" t="s">
        <v>689</v>
      </c>
      <c r="J301" s="45">
        <v>207</v>
      </c>
      <c r="K301" s="46">
        <v>191</v>
      </c>
      <c r="L301" s="22" t="s">
        <v>21</v>
      </c>
      <c r="M301" s="47" t="s">
        <v>757</v>
      </c>
      <c r="N301" s="41"/>
    </row>
    <row r="302" spans="1:14" s="42" customFormat="1" ht="86.5" customHeight="1" x14ac:dyDescent="0.35">
      <c r="A302" s="22">
        <f t="shared" si="4"/>
        <v>298</v>
      </c>
      <c r="B302" s="36" t="s">
        <v>349</v>
      </c>
      <c r="C302" s="43" t="s">
        <v>348</v>
      </c>
      <c r="D302" s="37" t="s">
        <v>3</v>
      </c>
      <c r="E302" s="37" t="s">
        <v>647</v>
      </c>
      <c r="F302" s="37" t="s">
        <v>313</v>
      </c>
      <c r="G302" s="44">
        <v>-3.0501581623267144</v>
      </c>
      <c r="H302" s="44">
        <v>-77.642746588406638</v>
      </c>
      <c r="I302" s="44" t="s">
        <v>689</v>
      </c>
      <c r="J302" s="45">
        <v>219</v>
      </c>
      <c r="K302" s="46">
        <v>210</v>
      </c>
      <c r="L302" s="22" t="s">
        <v>21</v>
      </c>
      <c r="M302" s="47" t="s">
        <v>757</v>
      </c>
      <c r="N302" s="41"/>
    </row>
    <row r="303" spans="1:14" s="42" customFormat="1" ht="42.5" customHeight="1" x14ac:dyDescent="0.35">
      <c r="A303" s="22">
        <f t="shared" si="4"/>
        <v>299</v>
      </c>
      <c r="B303" s="36" t="s">
        <v>351</v>
      </c>
      <c r="C303" s="43" t="s">
        <v>350</v>
      </c>
      <c r="D303" s="37" t="s">
        <v>3</v>
      </c>
      <c r="E303" s="37" t="s">
        <v>647</v>
      </c>
      <c r="F303" s="37" t="s">
        <v>313</v>
      </c>
      <c r="G303" s="28">
        <v>-3.2469758124508701</v>
      </c>
      <c r="H303" s="28">
        <v>-77.464389106229902</v>
      </c>
      <c r="I303" s="28" t="s">
        <v>689</v>
      </c>
      <c r="J303" s="45">
        <v>210</v>
      </c>
      <c r="K303" s="46" t="s">
        <v>21</v>
      </c>
      <c r="L303" s="22" t="s">
        <v>21</v>
      </c>
      <c r="M303" s="47" t="s">
        <v>718</v>
      </c>
      <c r="N303" s="41"/>
    </row>
    <row r="304" spans="1:14" s="42" customFormat="1" ht="40" customHeight="1" x14ac:dyDescent="0.35">
      <c r="A304" s="34">
        <f t="shared" si="4"/>
        <v>300</v>
      </c>
      <c r="B304" s="34" t="s">
        <v>352</v>
      </c>
      <c r="C304" s="88" t="s">
        <v>21</v>
      </c>
      <c r="D304" s="52" t="s">
        <v>3</v>
      </c>
      <c r="E304" s="52" t="s">
        <v>647</v>
      </c>
      <c r="F304" s="52" t="s">
        <v>313</v>
      </c>
      <c r="G304" s="29">
        <v>-3.2797559751793499</v>
      </c>
      <c r="H304" s="29">
        <v>-77.483794971360993</v>
      </c>
      <c r="I304" s="29" t="s">
        <v>689</v>
      </c>
      <c r="J304" s="34">
        <v>205</v>
      </c>
      <c r="K304" s="70" t="s">
        <v>21</v>
      </c>
      <c r="L304" s="22" t="s">
        <v>21</v>
      </c>
      <c r="M304" s="55" t="s">
        <v>718</v>
      </c>
      <c r="N304" s="41"/>
    </row>
    <row r="305" spans="1:15" s="42" customFormat="1" ht="43.5" customHeight="1" x14ac:dyDescent="0.35">
      <c r="A305" s="34">
        <f t="shared" si="4"/>
        <v>301</v>
      </c>
      <c r="B305" s="36" t="s">
        <v>353</v>
      </c>
      <c r="C305" s="59" t="s">
        <v>21</v>
      </c>
      <c r="D305" s="37" t="s">
        <v>3</v>
      </c>
      <c r="E305" s="37" t="s">
        <v>647</v>
      </c>
      <c r="F305" s="37" t="s">
        <v>313</v>
      </c>
      <c r="G305" s="30">
        <v>-2.92460024594007</v>
      </c>
      <c r="H305" s="30">
        <v>-77.260392846377101</v>
      </c>
      <c r="I305" s="30" t="s">
        <v>689</v>
      </c>
      <c r="J305" s="36">
        <v>232</v>
      </c>
      <c r="K305" s="50" t="s">
        <v>21</v>
      </c>
      <c r="L305" s="22" t="s">
        <v>21</v>
      </c>
      <c r="M305" s="47" t="s">
        <v>718</v>
      </c>
      <c r="N305" s="41"/>
    </row>
    <row r="306" spans="1:15" s="42" customFormat="1" ht="42.5" customHeight="1" x14ac:dyDescent="0.35">
      <c r="A306" s="34">
        <f t="shared" si="4"/>
        <v>302</v>
      </c>
      <c r="B306" s="36" t="s">
        <v>354</v>
      </c>
      <c r="C306" s="59" t="s">
        <v>21</v>
      </c>
      <c r="D306" s="37" t="s">
        <v>3</v>
      </c>
      <c r="E306" s="37" t="s">
        <v>647</v>
      </c>
      <c r="F306" s="37" t="s">
        <v>313</v>
      </c>
      <c r="G306" s="30">
        <v>-3.3147772322036402</v>
      </c>
      <c r="H306" s="28">
        <v>-77.583370440051098</v>
      </c>
      <c r="I306" s="28" t="s">
        <v>689</v>
      </c>
      <c r="J306" s="36">
        <v>188</v>
      </c>
      <c r="K306" s="50" t="s">
        <v>21</v>
      </c>
      <c r="L306" s="22" t="s">
        <v>21</v>
      </c>
      <c r="M306" s="47" t="s">
        <v>718</v>
      </c>
      <c r="N306" s="41"/>
    </row>
    <row r="307" spans="1:15" s="42" customFormat="1" ht="39" customHeight="1" x14ac:dyDescent="0.35">
      <c r="A307" s="34">
        <f t="shared" si="4"/>
        <v>303</v>
      </c>
      <c r="B307" s="36" t="s">
        <v>60</v>
      </c>
      <c r="C307" s="59" t="s">
        <v>21</v>
      </c>
      <c r="D307" s="37" t="s">
        <v>3</v>
      </c>
      <c r="E307" s="37" t="s">
        <v>647</v>
      </c>
      <c r="F307" s="37" t="s">
        <v>313</v>
      </c>
      <c r="G307" s="30">
        <v>-3.27615501081265</v>
      </c>
      <c r="H307" s="30">
        <v>-77.517670905810505</v>
      </c>
      <c r="I307" s="30" t="s">
        <v>689</v>
      </c>
      <c r="J307" s="36">
        <v>195</v>
      </c>
      <c r="K307" s="50" t="s">
        <v>21</v>
      </c>
      <c r="L307" s="22" t="s">
        <v>21</v>
      </c>
      <c r="M307" s="47" t="s">
        <v>718</v>
      </c>
      <c r="N307" s="41"/>
    </row>
    <row r="308" spans="1:15" s="42" customFormat="1" ht="56.5" customHeight="1" x14ac:dyDescent="0.35">
      <c r="A308" s="22">
        <f t="shared" si="4"/>
        <v>304</v>
      </c>
      <c r="B308" s="50" t="s">
        <v>355</v>
      </c>
      <c r="C308" s="43" t="s">
        <v>21</v>
      </c>
      <c r="D308" s="37" t="s">
        <v>3</v>
      </c>
      <c r="E308" s="37" t="s">
        <v>647</v>
      </c>
      <c r="F308" s="37" t="s">
        <v>313</v>
      </c>
      <c r="G308" s="44">
        <v>-3.0653965526844775</v>
      </c>
      <c r="H308" s="44">
        <v>-77.344948164018874</v>
      </c>
      <c r="I308" s="44" t="s">
        <v>689</v>
      </c>
      <c r="J308" s="45">
        <v>210</v>
      </c>
      <c r="K308" s="46">
        <v>240</v>
      </c>
      <c r="L308" s="22" t="s">
        <v>21</v>
      </c>
      <c r="M308" s="47" t="s">
        <v>776</v>
      </c>
      <c r="N308" s="41"/>
    </row>
    <row r="309" spans="1:15" s="42" customFormat="1" ht="29" x14ac:dyDescent="0.35">
      <c r="A309" s="45">
        <f t="shared" si="4"/>
        <v>305</v>
      </c>
      <c r="B309" s="50" t="s">
        <v>356</v>
      </c>
      <c r="C309" s="43" t="s">
        <v>21</v>
      </c>
      <c r="D309" s="37" t="s">
        <v>3</v>
      </c>
      <c r="E309" s="37" t="s">
        <v>647</v>
      </c>
      <c r="F309" s="37" t="s">
        <v>313</v>
      </c>
      <c r="G309" s="28">
        <v>-2.9929534365203398</v>
      </c>
      <c r="H309" s="28">
        <v>-77.700866843569301</v>
      </c>
      <c r="I309" s="28" t="s">
        <v>689</v>
      </c>
      <c r="J309" s="45">
        <v>213</v>
      </c>
      <c r="K309" s="46" t="s">
        <v>21</v>
      </c>
      <c r="L309" s="22" t="s">
        <v>21</v>
      </c>
      <c r="M309" s="47" t="s">
        <v>693</v>
      </c>
      <c r="N309" s="41"/>
    </row>
    <row r="310" spans="1:15" s="42" customFormat="1" ht="116" x14ac:dyDescent="0.35">
      <c r="A310" s="45">
        <f t="shared" si="4"/>
        <v>306</v>
      </c>
      <c r="B310" s="36" t="s">
        <v>357</v>
      </c>
      <c r="C310" s="43" t="s">
        <v>21</v>
      </c>
      <c r="D310" s="37" t="s">
        <v>3</v>
      </c>
      <c r="E310" s="37" t="s">
        <v>647</v>
      </c>
      <c r="F310" s="37" t="s">
        <v>313</v>
      </c>
      <c r="G310" s="44">
        <v>-3.2228007542827033</v>
      </c>
      <c r="H310" s="44">
        <v>-77.604004631042883</v>
      </c>
      <c r="I310" s="44" t="s">
        <v>689</v>
      </c>
      <c r="J310" s="45">
        <v>195</v>
      </c>
      <c r="K310" s="46" t="s">
        <v>21</v>
      </c>
      <c r="L310" s="22" t="s">
        <v>652</v>
      </c>
      <c r="M310" s="47" t="s">
        <v>777</v>
      </c>
      <c r="N310" s="41"/>
    </row>
    <row r="311" spans="1:15" s="42" customFormat="1" ht="105" customHeight="1" x14ac:dyDescent="0.35">
      <c r="A311" s="34">
        <f t="shared" si="4"/>
        <v>307</v>
      </c>
      <c r="B311" s="36" t="s">
        <v>359</v>
      </c>
      <c r="C311" s="59" t="s">
        <v>358</v>
      </c>
      <c r="D311" s="37" t="s">
        <v>3</v>
      </c>
      <c r="E311" s="37" t="s">
        <v>647</v>
      </c>
      <c r="F311" s="37" t="s">
        <v>313</v>
      </c>
      <c r="G311" s="30">
        <v>-3.1184003309850499</v>
      </c>
      <c r="H311" s="28">
        <v>-77.536518273422203</v>
      </c>
      <c r="I311" s="28" t="s">
        <v>688</v>
      </c>
      <c r="J311" s="36">
        <v>197</v>
      </c>
      <c r="K311" s="50">
        <v>197</v>
      </c>
      <c r="L311" s="22" t="s">
        <v>21</v>
      </c>
      <c r="M311" s="47" t="s">
        <v>778</v>
      </c>
      <c r="N311" s="41"/>
    </row>
    <row r="312" spans="1:15" s="42" customFormat="1" ht="58" customHeight="1" x14ac:dyDescent="0.35">
      <c r="A312" s="22">
        <f t="shared" si="4"/>
        <v>308</v>
      </c>
      <c r="B312" s="36" t="s">
        <v>360</v>
      </c>
      <c r="C312" s="43" t="s">
        <v>296</v>
      </c>
      <c r="D312" s="37" t="s">
        <v>3</v>
      </c>
      <c r="E312" s="37" t="s">
        <v>647</v>
      </c>
      <c r="F312" s="37" t="s">
        <v>313</v>
      </c>
      <c r="G312" s="44">
        <v>-3.052792274794268</v>
      </c>
      <c r="H312" s="44">
        <v>-77.451218782023091</v>
      </c>
      <c r="I312" s="44" t="s">
        <v>689</v>
      </c>
      <c r="J312" s="45">
        <v>206</v>
      </c>
      <c r="K312" s="46">
        <v>220</v>
      </c>
      <c r="L312" s="22" t="s">
        <v>21</v>
      </c>
      <c r="M312" s="47" t="s">
        <v>776</v>
      </c>
      <c r="N312" s="41"/>
    </row>
    <row r="313" spans="1:15" s="42" customFormat="1" ht="59.5" customHeight="1" x14ac:dyDescent="0.35">
      <c r="A313" s="22">
        <f t="shared" si="4"/>
        <v>309</v>
      </c>
      <c r="B313" s="36" t="s">
        <v>361</v>
      </c>
      <c r="C313" s="43" t="s">
        <v>298</v>
      </c>
      <c r="D313" s="37" t="s">
        <v>3</v>
      </c>
      <c r="E313" s="37" t="s">
        <v>647</v>
      </c>
      <c r="F313" s="37" t="s">
        <v>115</v>
      </c>
      <c r="G313" s="44">
        <v>-2.9863583513338785</v>
      </c>
      <c r="H313" s="44">
        <v>-77.405980938042518</v>
      </c>
      <c r="I313" s="44" t="s">
        <v>689</v>
      </c>
      <c r="J313" s="48">
        <v>213</v>
      </c>
      <c r="K313" s="61">
        <v>225</v>
      </c>
      <c r="L313" s="22" t="s">
        <v>21</v>
      </c>
      <c r="M313" s="47" t="s">
        <v>779</v>
      </c>
      <c r="N313" s="41"/>
    </row>
    <row r="314" spans="1:15" s="42" customFormat="1" ht="88.5" customHeight="1" x14ac:dyDescent="0.35">
      <c r="A314" s="22">
        <f t="shared" si="4"/>
        <v>310</v>
      </c>
      <c r="B314" s="36" t="s">
        <v>421</v>
      </c>
      <c r="C314" s="45" t="s">
        <v>420</v>
      </c>
      <c r="D314" s="37" t="s">
        <v>3</v>
      </c>
      <c r="E314" s="37" t="s">
        <v>647</v>
      </c>
      <c r="F314" s="37" t="s">
        <v>115</v>
      </c>
      <c r="G314" s="44">
        <v>-4.3266228377960374</v>
      </c>
      <c r="H314" s="44">
        <v>-76.911579790152345</v>
      </c>
      <c r="I314" s="44" t="s">
        <v>689</v>
      </c>
      <c r="J314" s="45">
        <v>147</v>
      </c>
      <c r="K314" s="46">
        <v>137</v>
      </c>
      <c r="L314" s="22" t="s">
        <v>21</v>
      </c>
      <c r="M314" s="47" t="s">
        <v>757</v>
      </c>
      <c r="N314" s="41"/>
    </row>
    <row r="315" spans="1:15" s="42" customFormat="1" ht="84.5" customHeight="1" x14ac:dyDescent="0.35">
      <c r="A315" s="22">
        <f t="shared" si="4"/>
        <v>311</v>
      </c>
      <c r="B315" s="36" t="s">
        <v>489</v>
      </c>
      <c r="C315" s="43" t="s">
        <v>21</v>
      </c>
      <c r="D315" s="37" t="s">
        <v>3</v>
      </c>
      <c r="E315" s="37" t="s">
        <v>647</v>
      </c>
      <c r="F315" s="60" t="s">
        <v>255</v>
      </c>
      <c r="G315" s="28">
        <v>-3.3591369896232801</v>
      </c>
      <c r="H315" s="28">
        <v>-76.559378223652303</v>
      </c>
      <c r="I315" s="28" t="s">
        <v>689</v>
      </c>
      <c r="J315" s="45">
        <v>190</v>
      </c>
      <c r="K315" s="46" t="s">
        <v>21</v>
      </c>
      <c r="L315" s="22" t="s">
        <v>21</v>
      </c>
      <c r="M315" s="47" t="s">
        <v>780</v>
      </c>
      <c r="N315" s="41"/>
    </row>
    <row r="316" spans="1:15" s="42" customFormat="1" ht="45.5" customHeight="1" x14ac:dyDescent="0.35">
      <c r="A316" s="34">
        <f t="shared" si="4"/>
        <v>312</v>
      </c>
      <c r="B316" s="36" t="s">
        <v>514</v>
      </c>
      <c r="C316" s="36" t="s">
        <v>21</v>
      </c>
      <c r="D316" s="37" t="s">
        <v>3</v>
      </c>
      <c r="E316" s="37" t="s">
        <v>177</v>
      </c>
      <c r="F316" s="37" t="s">
        <v>511</v>
      </c>
      <c r="G316" s="44">
        <v>-6.4695445362390007</v>
      </c>
      <c r="H316" s="44">
        <v>-74.565704145931221</v>
      </c>
      <c r="I316" s="44" t="s">
        <v>689</v>
      </c>
      <c r="J316" s="36">
        <v>155</v>
      </c>
      <c r="K316" s="50" t="s">
        <v>21</v>
      </c>
      <c r="L316" s="22" t="s">
        <v>21</v>
      </c>
      <c r="M316" s="40" t="s">
        <v>509</v>
      </c>
      <c r="N316" s="41"/>
    </row>
    <row r="317" spans="1:15" s="42" customFormat="1" ht="39.5" customHeight="1" x14ac:dyDescent="0.35">
      <c r="A317" s="45">
        <f t="shared" si="4"/>
        <v>313</v>
      </c>
      <c r="B317" s="50" t="s">
        <v>708</v>
      </c>
      <c r="C317" s="43" t="s">
        <v>21</v>
      </c>
      <c r="D317" s="59" t="s">
        <v>3</v>
      </c>
      <c r="E317" s="59" t="s">
        <v>177</v>
      </c>
      <c r="F317" s="59" t="s">
        <v>177</v>
      </c>
      <c r="G317" s="28">
        <v>-5.0421199999999997</v>
      </c>
      <c r="H317" s="28">
        <v>-73.837149999999994</v>
      </c>
      <c r="I317" s="28" t="s">
        <v>689</v>
      </c>
      <c r="J317" s="89">
        <v>106</v>
      </c>
      <c r="K317" s="52" t="s">
        <v>21</v>
      </c>
      <c r="L317" s="90" t="s">
        <v>21</v>
      </c>
      <c r="M317" s="47" t="s">
        <v>781</v>
      </c>
      <c r="N317" s="41"/>
      <c r="O317" s="62"/>
    </row>
    <row r="318" spans="1:15" s="42" customFormat="1" ht="111.5" customHeight="1" x14ac:dyDescent="0.35">
      <c r="A318" s="22">
        <f t="shared" si="4"/>
        <v>314</v>
      </c>
      <c r="B318" s="36" t="s">
        <v>522</v>
      </c>
      <c r="C318" s="65" t="s">
        <v>21</v>
      </c>
      <c r="D318" s="37" t="s">
        <v>3</v>
      </c>
      <c r="E318" s="37" t="s">
        <v>177</v>
      </c>
      <c r="F318" s="37" t="s">
        <v>519</v>
      </c>
      <c r="G318" s="44">
        <v>-5.2824003660907044</v>
      </c>
      <c r="H318" s="44">
        <v>-74.424722366715443</v>
      </c>
      <c r="I318" s="44" t="s">
        <v>689</v>
      </c>
      <c r="J318" s="45">
        <v>110</v>
      </c>
      <c r="K318" s="46">
        <v>104</v>
      </c>
      <c r="L318" s="22" t="s">
        <v>652</v>
      </c>
      <c r="M318" s="47" t="s">
        <v>732</v>
      </c>
      <c r="N318" s="41"/>
    </row>
    <row r="319" spans="1:15" s="42" customFormat="1" ht="99.5" customHeight="1" x14ac:dyDescent="0.35">
      <c r="A319" s="22">
        <f t="shared" si="4"/>
        <v>315</v>
      </c>
      <c r="B319" s="36" t="s">
        <v>523</v>
      </c>
      <c r="C319" s="43" t="s">
        <v>21</v>
      </c>
      <c r="D319" s="37" t="s">
        <v>3</v>
      </c>
      <c r="E319" s="37" t="s">
        <v>177</v>
      </c>
      <c r="F319" s="37" t="s">
        <v>519</v>
      </c>
      <c r="G319" s="44">
        <v>-5.3492285872068654</v>
      </c>
      <c r="H319" s="44">
        <v>-74.50261273872006</v>
      </c>
      <c r="I319" s="44" t="s">
        <v>689</v>
      </c>
      <c r="J319" s="48">
        <v>117</v>
      </c>
      <c r="K319" s="61">
        <v>106</v>
      </c>
      <c r="L319" s="22" t="s">
        <v>21</v>
      </c>
      <c r="M319" s="47" t="s">
        <v>732</v>
      </c>
      <c r="N319" s="41"/>
    </row>
    <row r="320" spans="1:15" s="42" customFormat="1" ht="25.5" customHeight="1" x14ac:dyDescent="0.35">
      <c r="A320" s="22">
        <f t="shared" si="4"/>
        <v>316</v>
      </c>
      <c r="B320" s="39" t="s">
        <v>524</v>
      </c>
      <c r="C320" s="43" t="s">
        <v>21</v>
      </c>
      <c r="D320" s="37" t="s">
        <v>3</v>
      </c>
      <c r="E320" s="37" t="s">
        <v>177</v>
      </c>
      <c r="F320" s="37" t="s">
        <v>519</v>
      </c>
      <c r="G320" s="28">
        <v>-5.5650062858209299</v>
      </c>
      <c r="H320" s="28">
        <v>-75.047492640404897</v>
      </c>
      <c r="I320" s="28" t="s">
        <v>689</v>
      </c>
      <c r="J320" s="48">
        <v>126</v>
      </c>
      <c r="K320" s="44" t="s">
        <v>21</v>
      </c>
      <c r="L320" s="22" t="s">
        <v>21</v>
      </c>
      <c r="M320" s="40" t="s">
        <v>782</v>
      </c>
      <c r="N320" s="41"/>
    </row>
    <row r="321" spans="1:15" s="42" customFormat="1" ht="39.5" customHeight="1" x14ac:dyDescent="0.35">
      <c r="A321" s="45">
        <f t="shared" si="4"/>
        <v>317</v>
      </c>
      <c r="B321" s="50" t="s">
        <v>176</v>
      </c>
      <c r="C321" s="43" t="s">
        <v>21</v>
      </c>
      <c r="D321" s="60" t="s">
        <v>3</v>
      </c>
      <c r="E321" s="60" t="s">
        <v>177</v>
      </c>
      <c r="F321" s="60" t="s">
        <v>519</v>
      </c>
      <c r="G321" s="28">
        <v>-5.6167978941747103</v>
      </c>
      <c r="H321" s="28">
        <v>-75.209130028954206</v>
      </c>
      <c r="I321" s="28" t="s">
        <v>689</v>
      </c>
      <c r="J321" s="48">
        <v>119</v>
      </c>
      <c r="K321" s="44" t="s">
        <v>21</v>
      </c>
      <c r="L321" s="22" t="s">
        <v>21</v>
      </c>
      <c r="M321" s="47" t="s">
        <v>783</v>
      </c>
      <c r="N321" s="41"/>
      <c r="O321" s="62"/>
    </row>
    <row r="322" spans="1:15" s="86" customFormat="1" ht="68" customHeight="1" x14ac:dyDescent="0.35">
      <c r="A322" s="52">
        <f t="shared" si="4"/>
        <v>318</v>
      </c>
      <c r="B322" s="91" t="s">
        <v>518</v>
      </c>
      <c r="C322" s="60" t="s">
        <v>21</v>
      </c>
      <c r="D322" s="37" t="s">
        <v>3</v>
      </c>
      <c r="E322" s="25" t="s">
        <v>177</v>
      </c>
      <c r="F322" s="37" t="s">
        <v>519</v>
      </c>
      <c r="G322" s="28">
        <v>-5.4954021901894103</v>
      </c>
      <c r="H322" s="28">
        <v>-74.418780422532194</v>
      </c>
      <c r="I322" s="28" t="s">
        <v>689</v>
      </c>
      <c r="J322" s="92">
        <v>124</v>
      </c>
      <c r="K322" s="93" t="s">
        <v>21</v>
      </c>
      <c r="L322" s="52" t="s">
        <v>21</v>
      </c>
      <c r="M322" s="84" t="s">
        <v>733</v>
      </c>
      <c r="N322" s="41"/>
    </row>
    <row r="323" spans="1:15" s="86" customFormat="1" ht="43" customHeight="1" x14ac:dyDescent="0.35">
      <c r="A323" s="37">
        <f t="shared" si="4"/>
        <v>319</v>
      </c>
      <c r="B323" s="82" t="s">
        <v>510</v>
      </c>
      <c r="C323" s="60" t="s">
        <v>21</v>
      </c>
      <c r="D323" s="37" t="s">
        <v>3</v>
      </c>
      <c r="E323" s="25" t="s">
        <v>177</v>
      </c>
      <c r="F323" s="37" t="s">
        <v>511</v>
      </c>
      <c r="G323" s="30">
        <v>-6.44306805804219</v>
      </c>
      <c r="H323" s="28">
        <v>-74.566802850551696</v>
      </c>
      <c r="I323" s="28" t="s">
        <v>689</v>
      </c>
      <c r="J323" s="92">
        <v>126</v>
      </c>
      <c r="K323" s="93" t="s">
        <v>21</v>
      </c>
      <c r="L323" s="52" t="s">
        <v>21</v>
      </c>
      <c r="M323" s="94" t="s">
        <v>512</v>
      </c>
      <c r="N323" s="41"/>
    </row>
    <row r="324" spans="1:15" s="86" customFormat="1" ht="40.5" customHeight="1" x14ac:dyDescent="0.35">
      <c r="A324" s="52">
        <f t="shared" si="4"/>
        <v>320</v>
      </c>
      <c r="B324" s="82" t="s">
        <v>513</v>
      </c>
      <c r="C324" s="60" t="s">
        <v>21</v>
      </c>
      <c r="D324" s="37" t="s">
        <v>3</v>
      </c>
      <c r="E324" s="25" t="s">
        <v>177</v>
      </c>
      <c r="F324" s="37" t="s">
        <v>511</v>
      </c>
      <c r="G324" s="28">
        <v>-6.4652409024363697</v>
      </c>
      <c r="H324" s="30">
        <v>-74.568348558424404</v>
      </c>
      <c r="I324" s="30" t="s">
        <v>689</v>
      </c>
      <c r="J324" s="92">
        <v>136</v>
      </c>
      <c r="K324" s="93" t="s">
        <v>21</v>
      </c>
      <c r="L324" s="52" t="s">
        <v>21</v>
      </c>
      <c r="M324" s="94" t="s">
        <v>512</v>
      </c>
      <c r="N324" s="85"/>
    </row>
    <row r="325" spans="1:15" s="42" customFormat="1" ht="40.5" customHeight="1" x14ac:dyDescent="0.35">
      <c r="A325" s="22">
        <f t="shared" si="4"/>
        <v>321</v>
      </c>
      <c r="B325" s="75" t="s">
        <v>504</v>
      </c>
      <c r="C325" s="51" t="s">
        <v>21</v>
      </c>
      <c r="D325" s="52" t="s">
        <v>3</v>
      </c>
      <c r="E325" s="52" t="s">
        <v>491</v>
      </c>
      <c r="F325" s="52" t="s">
        <v>505</v>
      </c>
      <c r="G325" s="29">
        <v>-6.5753068360123796</v>
      </c>
      <c r="H325" s="32">
        <v>-75.026305345011295</v>
      </c>
      <c r="I325" s="32" t="s">
        <v>688</v>
      </c>
      <c r="J325" s="57">
        <v>135</v>
      </c>
      <c r="K325" s="53" t="s">
        <v>21</v>
      </c>
      <c r="L325" s="22" t="s">
        <v>651</v>
      </c>
      <c r="M325" s="55" t="s">
        <v>506</v>
      </c>
      <c r="N325" s="41"/>
      <c r="O325" s="62"/>
    </row>
    <row r="326" spans="1:15" s="42" customFormat="1" ht="35.5" customHeight="1" x14ac:dyDescent="0.35">
      <c r="A326" s="45">
        <f t="shared" ref="A326:A389" si="5">+(A325+1)</f>
        <v>322</v>
      </c>
      <c r="B326" s="39" t="s">
        <v>152</v>
      </c>
      <c r="C326" s="43" t="s">
        <v>21</v>
      </c>
      <c r="D326" s="37" t="s">
        <v>3</v>
      </c>
      <c r="E326" s="37" t="s">
        <v>491</v>
      </c>
      <c r="F326" s="37" t="s">
        <v>505</v>
      </c>
      <c r="G326" s="30">
        <v>-6.6146580173117897</v>
      </c>
      <c r="H326" s="30">
        <v>-74.989442654704007</v>
      </c>
      <c r="I326" s="30" t="s">
        <v>688</v>
      </c>
      <c r="J326" s="48">
        <v>126</v>
      </c>
      <c r="K326" s="44" t="s">
        <v>21</v>
      </c>
      <c r="L326" s="22" t="s">
        <v>21</v>
      </c>
      <c r="M326" s="47" t="s">
        <v>506</v>
      </c>
      <c r="N326" s="41"/>
      <c r="O326" s="62"/>
    </row>
    <row r="327" spans="1:15" s="42" customFormat="1" ht="55.5" customHeight="1" x14ac:dyDescent="0.35">
      <c r="A327" s="36">
        <f t="shared" si="5"/>
        <v>323</v>
      </c>
      <c r="B327" s="39" t="s">
        <v>686</v>
      </c>
      <c r="C327" s="59" t="s">
        <v>21</v>
      </c>
      <c r="D327" s="36" t="s">
        <v>3</v>
      </c>
      <c r="E327" s="36" t="s">
        <v>491</v>
      </c>
      <c r="F327" s="36" t="s">
        <v>505</v>
      </c>
      <c r="G327" s="30">
        <v>-6.8271199999999999</v>
      </c>
      <c r="H327" s="30">
        <v>-75.441199999999995</v>
      </c>
      <c r="I327" s="30" t="s">
        <v>689</v>
      </c>
      <c r="J327" s="95">
        <v>373</v>
      </c>
      <c r="K327" s="96" t="s">
        <v>681</v>
      </c>
      <c r="L327" s="90" t="s">
        <v>21</v>
      </c>
      <c r="M327" s="47" t="s">
        <v>784</v>
      </c>
      <c r="N327" s="41"/>
      <c r="O327" s="62"/>
    </row>
    <row r="328" spans="1:15" s="42" customFormat="1" ht="68" customHeight="1" x14ac:dyDescent="0.35">
      <c r="A328" s="36">
        <f t="shared" si="5"/>
        <v>324</v>
      </c>
      <c r="B328" s="97" t="s">
        <v>505</v>
      </c>
      <c r="C328" s="51" t="s">
        <v>21</v>
      </c>
      <c r="D328" s="52" t="s">
        <v>3</v>
      </c>
      <c r="E328" s="52" t="s">
        <v>491</v>
      </c>
      <c r="F328" s="52" t="s">
        <v>505</v>
      </c>
      <c r="G328" s="29">
        <v>-6.7873181082660397</v>
      </c>
      <c r="H328" s="29">
        <v>-75.1057643791668</v>
      </c>
      <c r="I328" s="29" t="s">
        <v>689</v>
      </c>
      <c r="J328" s="57">
        <v>140</v>
      </c>
      <c r="K328" s="53" t="s">
        <v>21</v>
      </c>
      <c r="L328" s="22" t="s">
        <v>21</v>
      </c>
      <c r="M328" s="79" t="s">
        <v>785</v>
      </c>
      <c r="N328" s="41"/>
      <c r="O328" s="62"/>
    </row>
    <row r="329" spans="1:15" s="42" customFormat="1" ht="30" customHeight="1" x14ac:dyDescent="0.35">
      <c r="A329" s="22">
        <f t="shared" si="5"/>
        <v>325</v>
      </c>
      <c r="B329" s="39" t="s">
        <v>515</v>
      </c>
      <c r="C329" s="43" t="s">
        <v>21</v>
      </c>
      <c r="D329" s="37" t="s">
        <v>3</v>
      </c>
      <c r="E329" s="37" t="s">
        <v>491</v>
      </c>
      <c r="F329" s="37" t="s">
        <v>505</v>
      </c>
      <c r="G329" s="28">
        <v>-6.3906148299471699</v>
      </c>
      <c r="H329" s="28">
        <v>-75.126026112861496</v>
      </c>
      <c r="I329" s="28" t="s">
        <v>689</v>
      </c>
      <c r="J329" s="48">
        <v>130</v>
      </c>
      <c r="K329" s="44" t="s">
        <v>21</v>
      </c>
      <c r="L329" s="22" t="s">
        <v>21</v>
      </c>
      <c r="M329" s="47" t="s">
        <v>786</v>
      </c>
      <c r="N329" s="41"/>
      <c r="O329" s="62"/>
    </row>
    <row r="330" spans="1:15" s="42" customFormat="1" ht="26" customHeight="1" x14ac:dyDescent="0.35">
      <c r="A330" s="45">
        <f t="shared" si="5"/>
        <v>326</v>
      </c>
      <c r="B330" s="39" t="s">
        <v>516</v>
      </c>
      <c r="C330" s="43" t="s">
        <v>21</v>
      </c>
      <c r="D330" s="37" t="s">
        <v>3</v>
      </c>
      <c r="E330" s="37" t="s">
        <v>491</v>
      </c>
      <c r="F330" s="37" t="s">
        <v>505</v>
      </c>
      <c r="G330" s="28">
        <v>-6.4280718371886403</v>
      </c>
      <c r="H330" s="28">
        <v>-75.168384584893303</v>
      </c>
      <c r="I330" s="28" t="s">
        <v>689</v>
      </c>
      <c r="J330" s="48">
        <v>120</v>
      </c>
      <c r="K330" s="44" t="s">
        <v>21</v>
      </c>
      <c r="L330" s="22" t="s">
        <v>21</v>
      </c>
      <c r="M330" s="47" t="s">
        <v>787</v>
      </c>
      <c r="N330" s="41"/>
      <c r="O330" s="62"/>
    </row>
    <row r="331" spans="1:15" s="42" customFormat="1" ht="39" customHeight="1" x14ac:dyDescent="0.35">
      <c r="A331" s="45">
        <f t="shared" si="5"/>
        <v>327</v>
      </c>
      <c r="B331" s="39" t="s">
        <v>507</v>
      </c>
      <c r="C331" s="59" t="s">
        <v>21</v>
      </c>
      <c r="D331" s="37" t="s">
        <v>3</v>
      </c>
      <c r="E331" s="37" t="s">
        <v>491</v>
      </c>
      <c r="F331" s="37" t="s">
        <v>508</v>
      </c>
      <c r="G331" s="44">
        <v>-6.7463683552181202</v>
      </c>
      <c r="H331" s="44">
        <v>-74.972156263578313</v>
      </c>
      <c r="I331" s="44" t="s">
        <v>689</v>
      </c>
      <c r="J331" s="67">
        <v>139</v>
      </c>
      <c r="K331" s="68" t="s">
        <v>21</v>
      </c>
      <c r="L331" s="22" t="s">
        <v>21</v>
      </c>
      <c r="M331" s="40" t="s">
        <v>509</v>
      </c>
      <c r="N331" s="41"/>
      <c r="O331" s="62"/>
    </row>
    <row r="332" spans="1:15" s="42" customFormat="1" ht="36" customHeight="1" x14ac:dyDescent="0.35">
      <c r="A332" s="45">
        <f t="shared" si="5"/>
        <v>328</v>
      </c>
      <c r="B332" s="38" t="s">
        <v>677</v>
      </c>
      <c r="C332" s="43" t="s">
        <v>678</v>
      </c>
      <c r="D332" s="37" t="s">
        <v>3</v>
      </c>
      <c r="E332" s="37" t="s">
        <v>491</v>
      </c>
      <c r="F332" s="37" t="s">
        <v>508</v>
      </c>
      <c r="G332" s="28">
        <v>-6.9077971776773204</v>
      </c>
      <c r="H332" s="28">
        <v>-75.155857512705296</v>
      </c>
      <c r="I332" s="28" t="s">
        <v>689</v>
      </c>
      <c r="J332" s="48">
        <v>135</v>
      </c>
      <c r="K332" s="44" t="s">
        <v>21</v>
      </c>
      <c r="L332" s="22" t="s">
        <v>21</v>
      </c>
      <c r="M332" s="47" t="s">
        <v>788</v>
      </c>
      <c r="N332" s="41"/>
      <c r="O332" s="62"/>
    </row>
    <row r="333" spans="1:15" s="42" customFormat="1" ht="39" customHeight="1" x14ac:dyDescent="0.35">
      <c r="A333" s="22">
        <f t="shared" si="5"/>
        <v>329</v>
      </c>
      <c r="B333" s="38" t="s">
        <v>676</v>
      </c>
      <c r="C333" s="43" t="s">
        <v>520</v>
      </c>
      <c r="D333" s="37" t="s">
        <v>3</v>
      </c>
      <c r="E333" s="37" t="s">
        <v>491</v>
      </c>
      <c r="F333" s="37" t="s">
        <v>508</v>
      </c>
      <c r="G333" s="28">
        <v>-6.9120359690369897</v>
      </c>
      <c r="H333" s="28">
        <v>-75.166974838729402</v>
      </c>
      <c r="I333" s="28" t="s">
        <v>689</v>
      </c>
      <c r="J333" s="48">
        <v>141</v>
      </c>
      <c r="K333" s="44" t="s">
        <v>21</v>
      </c>
      <c r="L333" s="45" t="s">
        <v>21</v>
      </c>
      <c r="M333" s="40" t="s">
        <v>789</v>
      </c>
      <c r="N333" s="41"/>
      <c r="O333" s="62"/>
    </row>
    <row r="334" spans="1:15" s="42" customFormat="1" ht="72" customHeight="1" x14ac:dyDescent="0.35">
      <c r="A334" s="22">
        <f t="shared" si="5"/>
        <v>330</v>
      </c>
      <c r="B334" s="39" t="s">
        <v>704</v>
      </c>
      <c r="C334" s="43" t="s">
        <v>21</v>
      </c>
      <c r="D334" s="37" t="s">
        <v>3</v>
      </c>
      <c r="E334" s="37" t="s">
        <v>491</v>
      </c>
      <c r="F334" s="37" t="s">
        <v>508</v>
      </c>
      <c r="G334" s="44">
        <v>-6.9192790488750235</v>
      </c>
      <c r="H334" s="44">
        <v>-75.103499360897715</v>
      </c>
      <c r="I334" s="44" t="s">
        <v>689</v>
      </c>
      <c r="J334" s="48">
        <v>133</v>
      </c>
      <c r="K334" s="44" t="s">
        <v>21</v>
      </c>
      <c r="L334" s="22" t="s">
        <v>21</v>
      </c>
      <c r="M334" s="40" t="s">
        <v>790</v>
      </c>
      <c r="N334" s="41"/>
      <c r="O334" s="62"/>
    </row>
    <row r="335" spans="1:15" s="42" customFormat="1" ht="59.5" customHeight="1" x14ac:dyDescent="0.35">
      <c r="A335" s="36">
        <f t="shared" si="5"/>
        <v>331</v>
      </c>
      <c r="B335" s="39" t="s">
        <v>679</v>
      </c>
      <c r="C335" s="59" t="s">
        <v>21</v>
      </c>
      <c r="D335" s="36" t="s">
        <v>3</v>
      </c>
      <c r="E335" s="36" t="s">
        <v>491</v>
      </c>
      <c r="F335" s="36" t="s">
        <v>508</v>
      </c>
      <c r="G335" s="28">
        <v>-6.9838399999999998</v>
      </c>
      <c r="H335" s="28">
        <v>-75.108699999999999</v>
      </c>
      <c r="I335" s="28" t="s">
        <v>689</v>
      </c>
      <c r="J335" s="95">
        <v>125</v>
      </c>
      <c r="K335" s="96" t="s">
        <v>21</v>
      </c>
      <c r="L335" s="90" t="s">
        <v>21</v>
      </c>
      <c r="M335" s="55" t="s">
        <v>694</v>
      </c>
      <c r="N335" s="41"/>
      <c r="O335" s="62"/>
    </row>
    <row r="336" spans="1:15" s="42" customFormat="1" ht="40.5" customHeight="1" x14ac:dyDescent="0.35">
      <c r="A336" s="22">
        <f t="shared" si="5"/>
        <v>332</v>
      </c>
      <c r="B336" s="38" t="s">
        <v>682</v>
      </c>
      <c r="C336" s="43" t="s">
        <v>683</v>
      </c>
      <c r="D336" s="37" t="s">
        <v>3</v>
      </c>
      <c r="E336" s="37" t="s">
        <v>491</v>
      </c>
      <c r="F336" s="37" t="s">
        <v>497</v>
      </c>
      <c r="G336" s="28">
        <v>-7.0429228259752197</v>
      </c>
      <c r="H336" s="28">
        <v>-75.187629430018305</v>
      </c>
      <c r="I336" s="28" t="s">
        <v>689</v>
      </c>
      <c r="J336" s="48">
        <v>140</v>
      </c>
      <c r="K336" s="44" t="s">
        <v>21</v>
      </c>
      <c r="L336" s="22" t="s">
        <v>21</v>
      </c>
      <c r="M336" s="47" t="s">
        <v>789</v>
      </c>
      <c r="N336" s="41"/>
      <c r="O336" s="62"/>
    </row>
    <row r="337" spans="1:15" s="42" customFormat="1" ht="41.5" customHeight="1" x14ac:dyDescent="0.35">
      <c r="A337" s="22">
        <f t="shared" si="5"/>
        <v>333</v>
      </c>
      <c r="B337" s="38" t="s">
        <v>684</v>
      </c>
      <c r="C337" s="43" t="s">
        <v>498</v>
      </c>
      <c r="D337" s="37" t="s">
        <v>3</v>
      </c>
      <c r="E337" s="37" t="s">
        <v>491</v>
      </c>
      <c r="F337" s="37" t="s">
        <v>497</v>
      </c>
      <c r="G337" s="28">
        <v>-7.0433290361455496</v>
      </c>
      <c r="H337" s="28">
        <v>-75.247769980019498</v>
      </c>
      <c r="I337" s="28" t="s">
        <v>689</v>
      </c>
      <c r="J337" s="48">
        <v>141</v>
      </c>
      <c r="K337" s="44" t="s">
        <v>21</v>
      </c>
      <c r="L337" s="22" t="s">
        <v>21</v>
      </c>
      <c r="M337" s="47" t="s">
        <v>788</v>
      </c>
      <c r="N337" s="41"/>
      <c r="O337" s="62"/>
    </row>
    <row r="338" spans="1:15" s="42" customFormat="1" ht="40" customHeight="1" x14ac:dyDescent="0.35">
      <c r="A338" s="22">
        <f t="shared" si="5"/>
        <v>334</v>
      </c>
      <c r="B338" s="38" t="s">
        <v>685</v>
      </c>
      <c r="C338" s="43" t="s">
        <v>499</v>
      </c>
      <c r="D338" s="37" t="s">
        <v>3</v>
      </c>
      <c r="E338" s="37" t="s">
        <v>491</v>
      </c>
      <c r="F338" s="37" t="s">
        <v>497</v>
      </c>
      <c r="G338" s="28">
        <v>-7.04513775917665</v>
      </c>
      <c r="H338" s="28">
        <v>-75.1908718710974</v>
      </c>
      <c r="I338" s="28" t="s">
        <v>689</v>
      </c>
      <c r="J338" s="48">
        <v>126</v>
      </c>
      <c r="K338" s="44" t="s">
        <v>21</v>
      </c>
      <c r="L338" s="22" t="s">
        <v>21</v>
      </c>
      <c r="M338" s="47" t="s">
        <v>789</v>
      </c>
      <c r="N338" s="41"/>
      <c r="O338" s="62"/>
    </row>
    <row r="339" spans="1:15" s="42" customFormat="1" ht="48" customHeight="1" x14ac:dyDescent="0.35">
      <c r="A339" s="22">
        <f t="shared" si="5"/>
        <v>335</v>
      </c>
      <c r="B339" s="38" t="s">
        <v>500</v>
      </c>
      <c r="C339" s="43" t="s">
        <v>21</v>
      </c>
      <c r="D339" s="37" t="s">
        <v>3</v>
      </c>
      <c r="E339" s="37" t="s">
        <v>491</v>
      </c>
      <c r="F339" s="37" t="s">
        <v>497</v>
      </c>
      <c r="G339" s="28">
        <v>-7.2206380329706201</v>
      </c>
      <c r="H339" s="28">
        <v>-74.954618884984797</v>
      </c>
      <c r="I339" s="28" t="s">
        <v>689</v>
      </c>
      <c r="J339" s="48">
        <v>191</v>
      </c>
      <c r="K339" s="44" t="s">
        <v>21</v>
      </c>
      <c r="L339" s="22" t="s">
        <v>21</v>
      </c>
      <c r="M339" s="47" t="s">
        <v>791</v>
      </c>
      <c r="N339" s="41"/>
      <c r="O339" s="62"/>
    </row>
    <row r="340" spans="1:15" s="42" customFormat="1" ht="39.5" customHeight="1" x14ac:dyDescent="0.35">
      <c r="A340" s="22">
        <f t="shared" si="5"/>
        <v>336</v>
      </c>
      <c r="B340" s="38" t="s">
        <v>502</v>
      </c>
      <c r="C340" s="43" t="s">
        <v>501</v>
      </c>
      <c r="D340" s="37" t="s">
        <v>3</v>
      </c>
      <c r="E340" s="37" t="s">
        <v>491</v>
      </c>
      <c r="F340" s="37" t="s">
        <v>503</v>
      </c>
      <c r="G340" s="28">
        <v>-7.3980851576603097</v>
      </c>
      <c r="H340" s="28">
        <v>-75.739531155061101</v>
      </c>
      <c r="I340" s="28" t="s">
        <v>689</v>
      </c>
      <c r="J340" s="48">
        <v>204</v>
      </c>
      <c r="K340" s="44" t="s">
        <v>21</v>
      </c>
      <c r="L340" s="22" t="s">
        <v>21</v>
      </c>
      <c r="M340" s="47" t="s">
        <v>792</v>
      </c>
      <c r="N340" s="41"/>
      <c r="O340" s="62"/>
    </row>
    <row r="341" spans="1:15" s="42" customFormat="1" ht="21" customHeight="1" x14ac:dyDescent="0.35">
      <c r="A341" s="36">
        <f t="shared" si="5"/>
        <v>337</v>
      </c>
      <c r="B341" s="98" t="s">
        <v>490</v>
      </c>
      <c r="C341" s="36" t="s">
        <v>21</v>
      </c>
      <c r="D341" s="37" t="s">
        <v>3</v>
      </c>
      <c r="E341" s="37" t="s">
        <v>491</v>
      </c>
      <c r="F341" s="37" t="s">
        <v>521</v>
      </c>
      <c r="G341" s="30">
        <v>-8.2411122592845594</v>
      </c>
      <c r="H341" s="28">
        <v>-75.581956923757005</v>
      </c>
      <c r="I341" s="28" t="s">
        <v>688</v>
      </c>
      <c r="J341" s="38">
        <v>269</v>
      </c>
      <c r="K341" s="39" t="s">
        <v>21</v>
      </c>
      <c r="L341" s="22" t="s">
        <v>21</v>
      </c>
      <c r="M341" s="40" t="s">
        <v>492</v>
      </c>
      <c r="N341" s="41"/>
      <c r="O341" s="62"/>
    </row>
    <row r="342" spans="1:15" s="42" customFormat="1" ht="23" customHeight="1" x14ac:dyDescent="0.35">
      <c r="A342" s="36">
        <f t="shared" si="5"/>
        <v>338</v>
      </c>
      <c r="B342" s="98" t="s">
        <v>493</v>
      </c>
      <c r="C342" s="36" t="s">
        <v>21</v>
      </c>
      <c r="D342" s="37" t="s">
        <v>3</v>
      </c>
      <c r="E342" s="37" t="s">
        <v>491</v>
      </c>
      <c r="F342" s="37" t="s">
        <v>521</v>
      </c>
      <c r="G342" s="30">
        <v>-8.2186258806953205</v>
      </c>
      <c r="H342" s="30">
        <v>-75.582305421262703</v>
      </c>
      <c r="I342" s="30" t="s">
        <v>688</v>
      </c>
      <c r="J342" s="38">
        <v>239</v>
      </c>
      <c r="K342" s="39" t="s">
        <v>21</v>
      </c>
      <c r="L342" s="22" t="s">
        <v>21</v>
      </c>
      <c r="M342" s="40" t="s">
        <v>492</v>
      </c>
      <c r="N342" s="41"/>
      <c r="O342" s="62"/>
    </row>
    <row r="343" spans="1:15" s="42" customFormat="1" ht="65" customHeight="1" x14ac:dyDescent="0.35">
      <c r="A343" s="45">
        <f t="shared" si="5"/>
        <v>339</v>
      </c>
      <c r="B343" s="50" t="s">
        <v>495</v>
      </c>
      <c r="C343" s="43" t="s">
        <v>494</v>
      </c>
      <c r="D343" s="37" t="s">
        <v>3</v>
      </c>
      <c r="E343" s="37" t="s">
        <v>491</v>
      </c>
      <c r="F343" s="37" t="s">
        <v>521</v>
      </c>
      <c r="G343" s="44">
        <v>-7.3105013471918836</v>
      </c>
      <c r="H343" s="44">
        <v>-75.039523692656843</v>
      </c>
      <c r="I343" s="44" t="s">
        <v>689</v>
      </c>
      <c r="J343" s="48">
        <v>153</v>
      </c>
      <c r="K343" s="61">
        <v>152.4</v>
      </c>
      <c r="L343" s="22" t="s">
        <v>21</v>
      </c>
      <c r="M343" s="47" t="s">
        <v>793</v>
      </c>
      <c r="N343" s="41"/>
    </row>
    <row r="344" spans="1:15" s="42" customFormat="1" ht="57.5" customHeight="1" x14ac:dyDescent="0.35">
      <c r="A344" s="45">
        <f t="shared" si="5"/>
        <v>340</v>
      </c>
      <c r="B344" s="39" t="s">
        <v>496</v>
      </c>
      <c r="C344" s="43" t="s">
        <v>21</v>
      </c>
      <c r="D344" s="37" t="s">
        <v>3</v>
      </c>
      <c r="E344" s="37" t="s">
        <v>491</v>
      </c>
      <c r="F344" s="37" t="s">
        <v>521</v>
      </c>
      <c r="G344" s="44">
        <v>-7.3078604120108919</v>
      </c>
      <c r="H344" s="44">
        <v>-75.040098068041246</v>
      </c>
      <c r="I344" s="44" t="s">
        <v>689</v>
      </c>
      <c r="J344" s="48">
        <v>157</v>
      </c>
      <c r="K344" s="61">
        <v>172.98</v>
      </c>
      <c r="L344" s="22" t="s">
        <v>21</v>
      </c>
      <c r="M344" s="47" t="s">
        <v>734</v>
      </c>
      <c r="N344" s="41"/>
    </row>
    <row r="345" spans="1:15" s="62" customFormat="1" ht="43.5" customHeight="1" x14ac:dyDescent="0.35">
      <c r="A345" s="36">
        <f t="shared" si="5"/>
        <v>341</v>
      </c>
      <c r="B345" s="39" t="s">
        <v>680</v>
      </c>
      <c r="C345" s="59" t="s">
        <v>21</v>
      </c>
      <c r="D345" s="36" t="s">
        <v>3</v>
      </c>
      <c r="E345" s="36" t="s">
        <v>491</v>
      </c>
      <c r="F345" s="36" t="s">
        <v>521</v>
      </c>
      <c r="G345" s="46">
        <v>-7.3258599999999996</v>
      </c>
      <c r="H345" s="46">
        <v>-74.956670000000003</v>
      </c>
      <c r="I345" s="46" t="s">
        <v>689</v>
      </c>
      <c r="J345" s="52">
        <v>171</v>
      </c>
      <c r="K345" s="52" t="s">
        <v>681</v>
      </c>
      <c r="M345" s="99" t="s">
        <v>695</v>
      </c>
      <c r="N345" s="100"/>
    </row>
    <row r="346" spans="1:15" s="42" customFormat="1" ht="53" customHeight="1" x14ac:dyDescent="0.35">
      <c r="A346" s="36">
        <f t="shared" si="5"/>
        <v>342</v>
      </c>
      <c r="B346" s="39" t="s">
        <v>517</v>
      </c>
      <c r="C346" s="43" t="s">
        <v>21</v>
      </c>
      <c r="D346" s="37" t="s">
        <v>3</v>
      </c>
      <c r="E346" s="37" t="s">
        <v>491</v>
      </c>
      <c r="F346" s="37" t="s">
        <v>521</v>
      </c>
      <c r="G346" s="28">
        <v>-7.3454223280375102</v>
      </c>
      <c r="H346" s="28">
        <v>-74.929653420364502</v>
      </c>
      <c r="I346" s="28" t="s">
        <v>689</v>
      </c>
      <c r="J346" s="48">
        <v>201</v>
      </c>
      <c r="K346" s="44" t="s">
        <v>21</v>
      </c>
      <c r="L346" s="22" t="s">
        <v>21</v>
      </c>
      <c r="M346" s="47" t="s">
        <v>735</v>
      </c>
      <c r="N346" s="41"/>
    </row>
    <row r="347" spans="1:15" s="42" customFormat="1" ht="46.5" customHeight="1" x14ac:dyDescent="0.35">
      <c r="A347" s="45">
        <f t="shared" si="5"/>
        <v>343</v>
      </c>
      <c r="B347" s="39" t="s">
        <v>521</v>
      </c>
      <c r="C347" s="43" t="s">
        <v>21</v>
      </c>
      <c r="D347" s="37" t="s">
        <v>3</v>
      </c>
      <c r="E347" s="37" t="s">
        <v>491</v>
      </c>
      <c r="F347" s="37" t="s">
        <v>521</v>
      </c>
      <c r="G347" s="28">
        <v>-7.3444327105677401</v>
      </c>
      <c r="H347" s="28">
        <v>-75.008915623123102</v>
      </c>
      <c r="I347" s="28" t="s">
        <v>689</v>
      </c>
      <c r="J347" s="48">
        <v>160</v>
      </c>
      <c r="K347" s="44" t="s">
        <v>21</v>
      </c>
      <c r="L347" s="22" t="s">
        <v>21</v>
      </c>
      <c r="M347" s="40" t="s">
        <v>789</v>
      </c>
      <c r="N347" s="41"/>
    </row>
    <row r="348" spans="1:15" s="42" customFormat="1" ht="111" customHeight="1" x14ac:dyDescent="0.35">
      <c r="A348" s="45">
        <f t="shared" si="5"/>
        <v>344</v>
      </c>
      <c r="B348" s="50" t="s">
        <v>58</v>
      </c>
      <c r="C348" s="43" t="s">
        <v>57</v>
      </c>
      <c r="D348" s="37" t="s">
        <v>3</v>
      </c>
      <c r="E348" s="37" t="s">
        <v>2</v>
      </c>
      <c r="F348" s="37" t="s">
        <v>44</v>
      </c>
      <c r="G348" s="44">
        <v>-3.8269307694809527</v>
      </c>
      <c r="H348" s="44">
        <v>-73.323345018530645</v>
      </c>
      <c r="I348" s="44" t="s">
        <v>689</v>
      </c>
      <c r="J348" s="45">
        <v>110</v>
      </c>
      <c r="K348" s="46">
        <v>127</v>
      </c>
      <c r="L348" s="22" t="s">
        <v>21</v>
      </c>
      <c r="M348" s="47" t="s">
        <v>794</v>
      </c>
      <c r="N348" s="41"/>
    </row>
    <row r="349" spans="1:15" s="42" customFormat="1" ht="38" customHeight="1" x14ac:dyDescent="0.35">
      <c r="A349" s="45">
        <f t="shared" si="5"/>
        <v>345</v>
      </c>
      <c r="B349" s="36" t="s">
        <v>43</v>
      </c>
      <c r="C349" s="43" t="s">
        <v>21</v>
      </c>
      <c r="D349" s="37" t="s">
        <v>3</v>
      </c>
      <c r="E349" s="37" t="s">
        <v>2</v>
      </c>
      <c r="F349" s="37" t="s">
        <v>44</v>
      </c>
      <c r="G349" s="44">
        <v>-3.7916487292389713</v>
      </c>
      <c r="H349" s="44">
        <v>-73.294913473367828</v>
      </c>
      <c r="I349" s="44" t="s">
        <v>689</v>
      </c>
      <c r="J349" s="45">
        <v>111</v>
      </c>
      <c r="K349" s="46" t="s">
        <v>21</v>
      </c>
      <c r="L349" s="22" t="s">
        <v>21</v>
      </c>
      <c r="M349" s="47" t="s">
        <v>45</v>
      </c>
      <c r="N349" s="41"/>
    </row>
    <row r="350" spans="1:15" s="42" customFormat="1" ht="21.5" customHeight="1" x14ac:dyDescent="0.35">
      <c r="A350" s="22">
        <f t="shared" si="5"/>
        <v>346</v>
      </c>
      <c r="B350" s="50" t="s">
        <v>46</v>
      </c>
      <c r="C350" s="43" t="s">
        <v>21</v>
      </c>
      <c r="D350" s="37" t="s">
        <v>3</v>
      </c>
      <c r="E350" s="37" t="s">
        <v>2</v>
      </c>
      <c r="F350" s="37" t="s">
        <v>44</v>
      </c>
      <c r="G350" s="44">
        <v>-3.7857257347003741</v>
      </c>
      <c r="H350" s="44">
        <v>-73.292227087429936</v>
      </c>
      <c r="I350" s="44" t="s">
        <v>689</v>
      </c>
      <c r="J350" s="45">
        <v>107</v>
      </c>
      <c r="K350" s="46" t="s">
        <v>21</v>
      </c>
      <c r="L350" s="22" t="s">
        <v>21</v>
      </c>
      <c r="M350" s="47" t="s">
        <v>45</v>
      </c>
      <c r="N350" s="41"/>
    </row>
    <row r="351" spans="1:15" s="42" customFormat="1" ht="35.5" customHeight="1" x14ac:dyDescent="0.35">
      <c r="A351" s="36">
        <f t="shared" si="5"/>
        <v>347</v>
      </c>
      <c r="B351" s="98" t="s">
        <v>0</v>
      </c>
      <c r="C351" s="36" t="s">
        <v>21</v>
      </c>
      <c r="D351" s="37" t="s">
        <v>3</v>
      </c>
      <c r="E351" s="37" t="s">
        <v>2</v>
      </c>
      <c r="F351" s="37" t="s">
        <v>1</v>
      </c>
      <c r="G351" s="28">
        <v>-4.0537860567433102</v>
      </c>
      <c r="H351" s="30">
        <v>-73.138687324729304</v>
      </c>
      <c r="I351" s="30" t="s">
        <v>688</v>
      </c>
      <c r="J351" s="38">
        <v>99</v>
      </c>
      <c r="K351" s="39" t="s">
        <v>21</v>
      </c>
      <c r="L351" s="22" t="s">
        <v>21</v>
      </c>
      <c r="M351" s="47" t="s">
        <v>795</v>
      </c>
      <c r="N351" s="41"/>
    </row>
    <row r="352" spans="1:15" s="42" customFormat="1" ht="44.5" customHeight="1" x14ac:dyDescent="0.35">
      <c r="A352" s="36">
        <f t="shared" si="5"/>
        <v>348</v>
      </c>
      <c r="B352" s="35" t="s">
        <v>5</v>
      </c>
      <c r="C352" s="36" t="s">
        <v>21</v>
      </c>
      <c r="D352" s="37" t="s">
        <v>3</v>
      </c>
      <c r="E352" s="37" t="s">
        <v>2</v>
      </c>
      <c r="F352" s="37" t="s">
        <v>1</v>
      </c>
      <c r="G352" s="30">
        <v>-4.1019932249299202</v>
      </c>
      <c r="H352" s="28">
        <v>-73.060586363004106</v>
      </c>
      <c r="I352" s="28" t="s">
        <v>688</v>
      </c>
      <c r="J352" s="38">
        <v>111</v>
      </c>
      <c r="K352" s="39" t="s">
        <v>21</v>
      </c>
      <c r="L352" s="22" t="s">
        <v>21</v>
      </c>
      <c r="M352" s="47" t="s">
        <v>795</v>
      </c>
      <c r="N352" s="41"/>
    </row>
    <row r="353" spans="1:14" s="42" customFormat="1" ht="36" customHeight="1" x14ac:dyDescent="0.35">
      <c r="A353" s="34">
        <f t="shared" si="5"/>
        <v>349</v>
      </c>
      <c r="B353" s="35" t="s">
        <v>11</v>
      </c>
      <c r="C353" s="36" t="s">
        <v>21</v>
      </c>
      <c r="D353" s="37" t="s">
        <v>3</v>
      </c>
      <c r="E353" s="37" t="s">
        <v>2</v>
      </c>
      <c r="F353" s="37" t="s">
        <v>1</v>
      </c>
      <c r="G353" s="30">
        <v>-4.2018233806915104</v>
      </c>
      <c r="H353" s="28">
        <v>-73.372938389041195</v>
      </c>
      <c r="I353" s="28" t="s">
        <v>688</v>
      </c>
      <c r="J353" s="38">
        <v>101</v>
      </c>
      <c r="K353" s="39" t="s">
        <v>21</v>
      </c>
      <c r="L353" s="22" t="s">
        <v>21</v>
      </c>
      <c r="M353" s="47" t="s">
        <v>795</v>
      </c>
      <c r="N353" s="41"/>
    </row>
    <row r="354" spans="1:14" s="42" customFormat="1" ht="43.5" customHeight="1" x14ac:dyDescent="0.35">
      <c r="A354" s="34">
        <f t="shared" si="5"/>
        <v>350</v>
      </c>
      <c r="B354" s="35" t="s">
        <v>12</v>
      </c>
      <c r="C354" s="36" t="s">
        <v>21</v>
      </c>
      <c r="D354" s="37" t="s">
        <v>3</v>
      </c>
      <c r="E354" s="37" t="s">
        <v>2</v>
      </c>
      <c r="F354" s="37" t="s">
        <v>1</v>
      </c>
      <c r="G354" s="30">
        <v>-4.1754423046019902</v>
      </c>
      <c r="H354" s="30">
        <v>-73.376298432861503</v>
      </c>
      <c r="I354" s="30" t="s">
        <v>688</v>
      </c>
      <c r="J354" s="38">
        <v>97</v>
      </c>
      <c r="K354" s="39" t="s">
        <v>21</v>
      </c>
      <c r="L354" s="22" t="s">
        <v>21</v>
      </c>
      <c r="M354" s="47" t="s">
        <v>795</v>
      </c>
      <c r="N354" s="41"/>
    </row>
    <row r="355" spans="1:14" s="42" customFormat="1" ht="39" customHeight="1" x14ac:dyDescent="0.35">
      <c r="A355" s="34">
        <f t="shared" si="5"/>
        <v>351</v>
      </c>
      <c r="B355" s="36" t="s">
        <v>31</v>
      </c>
      <c r="C355" s="59" t="s">
        <v>21</v>
      </c>
      <c r="D355" s="37" t="s">
        <v>3</v>
      </c>
      <c r="E355" s="37" t="s">
        <v>2</v>
      </c>
      <c r="F355" s="37" t="s">
        <v>1</v>
      </c>
      <c r="G355" s="44">
        <v>-4.0047057350948378</v>
      </c>
      <c r="H355" s="44">
        <v>-73.154717833431093</v>
      </c>
      <c r="I355" s="44" t="s">
        <v>689</v>
      </c>
      <c r="J355" s="36">
        <v>95</v>
      </c>
      <c r="K355" s="50">
        <v>102</v>
      </c>
      <c r="L355" s="22" t="s">
        <v>21</v>
      </c>
      <c r="M355" s="47" t="s">
        <v>32</v>
      </c>
      <c r="N355" s="41"/>
    </row>
    <row r="356" spans="1:14" s="62" customFormat="1" ht="43" customHeight="1" x14ac:dyDescent="0.35">
      <c r="A356" s="22">
        <f t="shared" si="5"/>
        <v>352</v>
      </c>
      <c r="B356" s="36" t="s">
        <v>33</v>
      </c>
      <c r="C356" s="43" t="s">
        <v>21</v>
      </c>
      <c r="D356" s="37" t="s">
        <v>3</v>
      </c>
      <c r="E356" s="37" t="s">
        <v>2</v>
      </c>
      <c r="F356" s="37" t="s">
        <v>1</v>
      </c>
      <c r="G356" s="44">
        <v>-4.0101168488246053</v>
      </c>
      <c r="H356" s="44">
        <v>-73.156434470169174</v>
      </c>
      <c r="I356" s="44" t="s">
        <v>689</v>
      </c>
      <c r="J356" s="45">
        <v>91</v>
      </c>
      <c r="K356" s="46">
        <v>93</v>
      </c>
      <c r="L356" s="22" t="s">
        <v>652</v>
      </c>
      <c r="M356" s="47" t="s">
        <v>32</v>
      </c>
      <c r="N356" s="41"/>
    </row>
    <row r="357" spans="1:14" s="62" customFormat="1" ht="115.5" customHeight="1" x14ac:dyDescent="0.35">
      <c r="A357" s="22">
        <f t="shared" si="5"/>
        <v>353</v>
      </c>
      <c r="B357" s="50" t="s">
        <v>41</v>
      </c>
      <c r="C357" s="43" t="s">
        <v>21</v>
      </c>
      <c r="D357" s="37" t="s">
        <v>3</v>
      </c>
      <c r="E357" s="37" t="s">
        <v>2</v>
      </c>
      <c r="F357" s="37" t="s">
        <v>1</v>
      </c>
      <c r="G357" s="44">
        <v>-4.0276099439908597</v>
      </c>
      <c r="H357" s="44">
        <v>-73.139017153277479</v>
      </c>
      <c r="I357" s="44" t="s">
        <v>689</v>
      </c>
      <c r="J357" s="45">
        <v>91</v>
      </c>
      <c r="K357" s="46" t="s">
        <v>21</v>
      </c>
      <c r="L357" s="22" t="s">
        <v>21</v>
      </c>
      <c r="M357" s="47" t="s">
        <v>42</v>
      </c>
      <c r="N357" s="41"/>
    </row>
    <row r="358" spans="1:14" s="62" customFormat="1" ht="54" customHeight="1" x14ac:dyDescent="0.35">
      <c r="A358" s="45">
        <f t="shared" si="5"/>
        <v>354</v>
      </c>
      <c r="B358" s="36" t="s">
        <v>60</v>
      </c>
      <c r="C358" s="45" t="s">
        <v>21</v>
      </c>
      <c r="D358" s="60" t="s">
        <v>3</v>
      </c>
      <c r="E358" s="60" t="s">
        <v>2</v>
      </c>
      <c r="F358" s="60" t="s">
        <v>1</v>
      </c>
      <c r="G358" s="44">
        <v>-3.5217459153337431</v>
      </c>
      <c r="H358" s="44">
        <v>-72.784783591666411</v>
      </c>
      <c r="I358" s="44" t="s">
        <v>689</v>
      </c>
      <c r="J358" s="45">
        <v>91</v>
      </c>
      <c r="K358" s="46" t="s">
        <v>21</v>
      </c>
      <c r="L358" s="22" t="s">
        <v>21</v>
      </c>
      <c r="M358" s="47" t="s">
        <v>796</v>
      </c>
      <c r="N358" s="41"/>
    </row>
    <row r="359" spans="1:14" s="42" customFormat="1" ht="83.5" customHeight="1" x14ac:dyDescent="0.35">
      <c r="A359" s="45">
        <f t="shared" si="5"/>
        <v>355</v>
      </c>
      <c r="B359" s="50" t="s">
        <v>53</v>
      </c>
      <c r="C359" s="65" t="s">
        <v>21</v>
      </c>
      <c r="D359" s="37" t="s">
        <v>3</v>
      </c>
      <c r="E359" s="37" t="s">
        <v>2</v>
      </c>
      <c r="F359" s="37" t="s">
        <v>54</v>
      </c>
      <c r="G359" s="44">
        <v>-3.1071115673666281</v>
      </c>
      <c r="H359" s="44">
        <v>-74.678327642600138</v>
      </c>
      <c r="I359" s="44" t="s">
        <v>689</v>
      </c>
      <c r="J359" s="45">
        <v>161</v>
      </c>
      <c r="K359" s="46" t="s">
        <v>21</v>
      </c>
      <c r="L359" s="22" t="s">
        <v>21</v>
      </c>
      <c r="M359" s="47" t="s">
        <v>797</v>
      </c>
      <c r="N359" s="41"/>
    </row>
    <row r="360" spans="1:14" s="42" customFormat="1" ht="40" customHeight="1" x14ac:dyDescent="0.35">
      <c r="A360" s="45">
        <f t="shared" si="5"/>
        <v>356</v>
      </c>
      <c r="B360" s="50" t="s">
        <v>55</v>
      </c>
      <c r="C360" s="43" t="s">
        <v>21</v>
      </c>
      <c r="D360" s="37" t="s">
        <v>3</v>
      </c>
      <c r="E360" s="37" t="s">
        <v>2</v>
      </c>
      <c r="F360" s="37" t="s">
        <v>54</v>
      </c>
      <c r="G360" s="44">
        <v>-2.9236085713028408</v>
      </c>
      <c r="H360" s="44">
        <v>-74.770883825678055</v>
      </c>
      <c r="I360" s="44" t="s">
        <v>689</v>
      </c>
      <c r="J360" s="48">
        <v>179</v>
      </c>
      <c r="K360" s="44" t="s">
        <v>21</v>
      </c>
      <c r="L360" s="22" t="s">
        <v>21</v>
      </c>
      <c r="M360" s="40" t="s">
        <v>798</v>
      </c>
      <c r="N360" s="41"/>
    </row>
    <row r="361" spans="1:14" s="42" customFormat="1" ht="37.5" customHeight="1" x14ac:dyDescent="0.35">
      <c r="A361" s="45">
        <f t="shared" si="5"/>
        <v>357</v>
      </c>
      <c r="B361" s="68" t="s">
        <v>56</v>
      </c>
      <c r="C361" s="45" t="s">
        <v>21</v>
      </c>
      <c r="D361" s="37" t="s">
        <v>3</v>
      </c>
      <c r="E361" s="37" t="s">
        <v>2</v>
      </c>
      <c r="F361" s="37" t="s">
        <v>54</v>
      </c>
      <c r="G361" s="44">
        <v>-2.8590629216007346</v>
      </c>
      <c r="H361" s="44">
        <v>-74.98392979939085</v>
      </c>
      <c r="I361" s="44" t="s">
        <v>689</v>
      </c>
      <c r="J361" s="45">
        <v>164</v>
      </c>
      <c r="K361" s="46" t="s">
        <v>21</v>
      </c>
      <c r="L361" s="45" t="s">
        <v>21</v>
      </c>
      <c r="M361" s="47" t="s">
        <v>799</v>
      </c>
      <c r="N361" s="41"/>
    </row>
    <row r="362" spans="1:14" s="42" customFormat="1" ht="54.5" customHeight="1" x14ac:dyDescent="0.35">
      <c r="A362" s="22">
        <f t="shared" si="5"/>
        <v>358</v>
      </c>
      <c r="B362" s="36" t="s">
        <v>24</v>
      </c>
      <c r="C362" s="45" t="s">
        <v>21</v>
      </c>
      <c r="D362" s="37" t="s">
        <v>3</v>
      </c>
      <c r="E362" s="37" t="s">
        <v>2</v>
      </c>
      <c r="F362" s="37" t="s">
        <v>25</v>
      </c>
      <c r="G362" s="44">
        <v>-3.634824344223937</v>
      </c>
      <c r="H362" s="44">
        <v>-73.217492626055645</v>
      </c>
      <c r="I362" s="44" t="s">
        <v>689</v>
      </c>
      <c r="J362" s="45">
        <v>109</v>
      </c>
      <c r="K362" s="46">
        <v>112</v>
      </c>
      <c r="L362" s="22" t="s">
        <v>21</v>
      </c>
      <c r="M362" s="47" t="s">
        <v>800</v>
      </c>
      <c r="N362" s="41"/>
    </row>
    <row r="363" spans="1:14" s="42" customFormat="1" ht="53.5" customHeight="1" x14ac:dyDescent="0.35">
      <c r="A363" s="22">
        <f t="shared" si="5"/>
        <v>359</v>
      </c>
      <c r="B363" s="36" t="s">
        <v>28</v>
      </c>
      <c r="C363" s="45" t="s">
        <v>21</v>
      </c>
      <c r="D363" s="37" t="s">
        <v>3</v>
      </c>
      <c r="E363" s="37" t="s">
        <v>2</v>
      </c>
      <c r="F363" s="37" t="s">
        <v>25</v>
      </c>
      <c r="G363" s="44">
        <v>-3.5861425801187448</v>
      </c>
      <c r="H363" s="44">
        <v>-73.182632266293936</v>
      </c>
      <c r="I363" s="44" t="s">
        <v>689</v>
      </c>
      <c r="J363" s="45">
        <v>90</v>
      </c>
      <c r="K363" s="46">
        <v>111</v>
      </c>
      <c r="L363" s="22" t="s">
        <v>21</v>
      </c>
      <c r="M363" s="47" t="s">
        <v>800</v>
      </c>
      <c r="N363" s="41"/>
    </row>
    <row r="364" spans="1:14" s="42" customFormat="1" ht="66" customHeight="1" x14ac:dyDescent="0.35">
      <c r="A364" s="22">
        <f t="shared" si="5"/>
        <v>360</v>
      </c>
      <c r="B364" s="39" t="s">
        <v>37</v>
      </c>
      <c r="C364" s="43" t="s">
        <v>21</v>
      </c>
      <c r="D364" s="37" t="s">
        <v>3</v>
      </c>
      <c r="E364" s="37" t="s">
        <v>2</v>
      </c>
      <c r="F364" s="37" t="s">
        <v>25</v>
      </c>
      <c r="G364" s="44">
        <v>-3.6512643755962957</v>
      </c>
      <c r="H364" s="44">
        <v>-73.234511803999837</v>
      </c>
      <c r="I364" s="44" t="s">
        <v>689</v>
      </c>
      <c r="J364" s="45">
        <v>120</v>
      </c>
      <c r="K364" s="46">
        <v>162</v>
      </c>
      <c r="L364" s="22" t="s">
        <v>21</v>
      </c>
      <c r="M364" s="47" t="s">
        <v>801</v>
      </c>
      <c r="N364" s="41"/>
    </row>
    <row r="365" spans="1:14" s="42" customFormat="1" ht="77.5" customHeight="1" x14ac:dyDescent="0.35">
      <c r="A365" s="45">
        <f t="shared" si="5"/>
        <v>361</v>
      </c>
      <c r="B365" s="39" t="s">
        <v>38</v>
      </c>
      <c r="C365" s="43" t="s">
        <v>21</v>
      </c>
      <c r="D365" s="37" t="s">
        <v>3</v>
      </c>
      <c r="E365" s="37" t="s">
        <v>2</v>
      </c>
      <c r="F365" s="37" t="s">
        <v>25</v>
      </c>
      <c r="G365" s="44">
        <v>-3.6494987793659157</v>
      </c>
      <c r="H365" s="44">
        <v>-73.234915870382068</v>
      </c>
      <c r="I365" s="44" t="s">
        <v>689</v>
      </c>
      <c r="J365" s="45">
        <v>130</v>
      </c>
      <c r="K365" s="46">
        <v>162</v>
      </c>
      <c r="L365" s="22" t="s">
        <v>21</v>
      </c>
      <c r="M365" s="47" t="s">
        <v>801</v>
      </c>
      <c r="N365" s="41"/>
    </row>
    <row r="366" spans="1:14" s="42" customFormat="1" ht="81.5" customHeight="1" x14ac:dyDescent="0.35">
      <c r="A366" s="45">
        <f t="shared" si="5"/>
        <v>362</v>
      </c>
      <c r="B366" s="39" t="s">
        <v>39</v>
      </c>
      <c r="C366" s="43" t="s">
        <v>21</v>
      </c>
      <c r="D366" s="37" t="s">
        <v>3</v>
      </c>
      <c r="E366" s="37" t="s">
        <v>2</v>
      </c>
      <c r="F366" s="37" t="s">
        <v>25</v>
      </c>
      <c r="G366" s="44">
        <v>-3.6419630767533264</v>
      </c>
      <c r="H366" s="44">
        <v>-73.23873528229889</v>
      </c>
      <c r="I366" s="44" t="s">
        <v>689</v>
      </c>
      <c r="J366" s="45">
        <v>134</v>
      </c>
      <c r="K366" s="46">
        <v>165</v>
      </c>
      <c r="L366" s="22" t="s">
        <v>21</v>
      </c>
      <c r="M366" s="47" t="s">
        <v>40</v>
      </c>
      <c r="N366" s="41"/>
    </row>
    <row r="367" spans="1:14" s="42" customFormat="1" ht="62.5" customHeight="1" x14ac:dyDescent="0.35">
      <c r="A367" s="45">
        <f t="shared" si="5"/>
        <v>363</v>
      </c>
      <c r="B367" s="50" t="s">
        <v>59</v>
      </c>
      <c r="C367" s="45" t="s">
        <v>21</v>
      </c>
      <c r="D367" s="60" t="s">
        <v>3</v>
      </c>
      <c r="E367" s="60" t="s">
        <v>2</v>
      </c>
      <c r="F367" s="60" t="s">
        <v>25</v>
      </c>
      <c r="G367" s="44">
        <v>-3.6204323587476614</v>
      </c>
      <c r="H367" s="44">
        <v>-73.313609926060465</v>
      </c>
      <c r="I367" s="44" t="s">
        <v>689</v>
      </c>
      <c r="J367" s="45">
        <v>110</v>
      </c>
      <c r="K367" s="46">
        <v>112</v>
      </c>
      <c r="L367" s="22" t="s">
        <v>21</v>
      </c>
      <c r="M367" s="47" t="s">
        <v>800</v>
      </c>
      <c r="N367" s="41"/>
    </row>
    <row r="368" spans="1:14" s="42" customFormat="1" ht="36.5" customHeight="1" x14ac:dyDescent="0.35">
      <c r="A368" s="36">
        <f t="shared" si="5"/>
        <v>364</v>
      </c>
      <c r="B368" s="98" t="s">
        <v>13</v>
      </c>
      <c r="C368" s="36" t="s">
        <v>21</v>
      </c>
      <c r="D368" s="37" t="s">
        <v>3</v>
      </c>
      <c r="E368" s="37" t="s">
        <v>2</v>
      </c>
      <c r="F368" s="37" t="s">
        <v>25</v>
      </c>
      <c r="G368" s="30">
        <v>-3.64815892580839</v>
      </c>
      <c r="H368" s="30">
        <v>-73.229563119697303</v>
      </c>
      <c r="I368" s="30" t="s">
        <v>688</v>
      </c>
      <c r="J368" s="38">
        <v>106</v>
      </c>
      <c r="K368" s="39" t="s">
        <v>21</v>
      </c>
      <c r="L368" s="22" t="s">
        <v>21</v>
      </c>
      <c r="M368" s="40" t="s">
        <v>802</v>
      </c>
      <c r="N368" s="41"/>
    </row>
    <row r="369" spans="1:17" s="62" customFormat="1" ht="45" customHeight="1" x14ac:dyDescent="0.35">
      <c r="A369" s="34">
        <f t="shared" si="5"/>
        <v>365</v>
      </c>
      <c r="B369" s="35" t="s">
        <v>14</v>
      </c>
      <c r="C369" s="36" t="s">
        <v>21</v>
      </c>
      <c r="D369" s="37" t="s">
        <v>3</v>
      </c>
      <c r="E369" s="37" t="s">
        <v>2</v>
      </c>
      <c r="F369" s="37" t="s">
        <v>15</v>
      </c>
      <c r="G369" s="30">
        <v>-3.4655704822387001</v>
      </c>
      <c r="H369" s="28">
        <v>-72.928162457334807</v>
      </c>
      <c r="I369" s="28" t="s">
        <v>688</v>
      </c>
      <c r="J369" s="38">
        <v>111</v>
      </c>
      <c r="K369" s="39" t="s">
        <v>21</v>
      </c>
      <c r="L369" s="22" t="s">
        <v>21</v>
      </c>
      <c r="M369" s="40" t="s">
        <v>802</v>
      </c>
      <c r="N369" s="41"/>
    </row>
    <row r="370" spans="1:17" s="42" customFormat="1" ht="58.5" customHeight="1" x14ac:dyDescent="0.35">
      <c r="A370" s="22">
        <f t="shared" si="5"/>
        <v>366</v>
      </c>
      <c r="B370" s="50" t="s">
        <v>23</v>
      </c>
      <c r="C370" s="45" t="s">
        <v>21</v>
      </c>
      <c r="D370" s="37" t="s">
        <v>3</v>
      </c>
      <c r="E370" s="37" t="s">
        <v>2</v>
      </c>
      <c r="F370" s="37" t="s">
        <v>15</v>
      </c>
      <c r="G370" s="44">
        <v>-3.4722809142945761</v>
      </c>
      <c r="H370" s="44">
        <v>-72.945539703775935</v>
      </c>
      <c r="I370" s="44" t="s">
        <v>689</v>
      </c>
      <c r="J370" s="45">
        <v>97</v>
      </c>
      <c r="K370" s="46">
        <v>110</v>
      </c>
      <c r="L370" s="22" t="s">
        <v>21</v>
      </c>
      <c r="M370" s="47" t="s">
        <v>800</v>
      </c>
      <c r="N370" s="41"/>
      <c r="O370" s="62"/>
    </row>
    <row r="371" spans="1:17" s="42" customFormat="1" ht="55.5" customHeight="1" x14ac:dyDescent="0.35">
      <c r="A371" s="45">
        <f t="shared" si="5"/>
        <v>367</v>
      </c>
      <c r="B371" s="36" t="s">
        <v>26</v>
      </c>
      <c r="C371" s="45" t="s">
        <v>21</v>
      </c>
      <c r="D371" s="37" t="s">
        <v>3</v>
      </c>
      <c r="E371" s="37" t="s">
        <v>2</v>
      </c>
      <c r="F371" s="37" t="s">
        <v>15</v>
      </c>
      <c r="G371" s="44">
        <v>-3.5505797763840694</v>
      </c>
      <c r="H371" s="44">
        <v>-73.142376346248852</v>
      </c>
      <c r="I371" s="44" t="s">
        <v>689</v>
      </c>
      <c r="J371" s="45">
        <v>104</v>
      </c>
      <c r="K371" s="46">
        <v>92</v>
      </c>
      <c r="L371" s="45" t="s">
        <v>21</v>
      </c>
      <c r="M371" s="47" t="s">
        <v>800</v>
      </c>
      <c r="N371" s="41"/>
    </row>
    <row r="372" spans="1:17" s="42" customFormat="1" ht="62" customHeight="1" x14ac:dyDescent="0.35">
      <c r="A372" s="22">
        <f t="shared" si="5"/>
        <v>368</v>
      </c>
      <c r="B372" s="36" t="s">
        <v>27</v>
      </c>
      <c r="C372" s="45" t="s">
        <v>21</v>
      </c>
      <c r="D372" s="37" t="s">
        <v>3</v>
      </c>
      <c r="E372" s="37" t="s">
        <v>2</v>
      </c>
      <c r="F372" s="37" t="s">
        <v>15</v>
      </c>
      <c r="G372" s="44">
        <v>-3.5865296849238955</v>
      </c>
      <c r="H372" s="44">
        <v>-73.159250326403523</v>
      </c>
      <c r="I372" s="44" t="s">
        <v>689</v>
      </c>
      <c r="J372" s="45">
        <v>99</v>
      </c>
      <c r="K372" s="46">
        <v>95</v>
      </c>
      <c r="L372" s="22" t="s">
        <v>21</v>
      </c>
      <c r="M372" s="47" t="s">
        <v>800</v>
      </c>
      <c r="N372" s="41"/>
    </row>
    <row r="373" spans="1:17" s="42" customFormat="1" ht="51" customHeight="1" x14ac:dyDescent="0.35">
      <c r="A373" s="22">
        <f t="shared" si="5"/>
        <v>369</v>
      </c>
      <c r="B373" s="36" t="s">
        <v>29</v>
      </c>
      <c r="C373" s="45" t="s">
        <v>21</v>
      </c>
      <c r="D373" s="37" t="s">
        <v>3</v>
      </c>
      <c r="E373" s="37" t="s">
        <v>2</v>
      </c>
      <c r="F373" s="37" t="s">
        <v>15</v>
      </c>
      <c r="G373" s="44">
        <v>-3.4801138608593356</v>
      </c>
      <c r="H373" s="44">
        <v>-72.98039726617003</v>
      </c>
      <c r="I373" s="44" t="s">
        <v>689</v>
      </c>
      <c r="J373" s="45">
        <v>99</v>
      </c>
      <c r="K373" s="46">
        <v>116</v>
      </c>
      <c r="L373" s="22" t="s">
        <v>21</v>
      </c>
      <c r="M373" s="47" t="s">
        <v>800</v>
      </c>
      <c r="N373" s="41"/>
    </row>
    <row r="374" spans="1:17" s="42" customFormat="1" ht="53.5" customHeight="1" x14ac:dyDescent="0.35">
      <c r="A374" s="22">
        <f t="shared" si="5"/>
        <v>370</v>
      </c>
      <c r="B374" s="34" t="s">
        <v>63</v>
      </c>
      <c r="C374" s="51" t="s">
        <v>62</v>
      </c>
      <c r="D374" s="52" t="s">
        <v>3</v>
      </c>
      <c r="E374" s="52" t="s">
        <v>2</v>
      </c>
      <c r="F374" s="52" t="s">
        <v>64</v>
      </c>
      <c r="G374" s="53">
        <v>-3.5161859708165712</v>
      </c>
      <c r="H374" s="53">
        <v>-73.134741761027527</v>
      </c>
      <c r="I374" s="53" t="s">
        <v>689</v>
      </c>
      <c r="J374" s="22">
        <v>94</v>
      </c>
      <c r="K374" s="54">
        <v>113</v>
      </c>
      <c r="L374" s="22" t="s">
        <v>21</v>
      </c>
      <c r="M374" s="55" t="s">
        <v>736</v>
      </c>
      <c r="N374" s="41"/>
    </row>
    <row r="375" spans="1:17" s="42" customFormat="1" ht="62.5" customHeight="1" x14ac:dyDescent="0.35">
      <c r="A375" s="22">
        <f t="shared" si="5"/>
        <v>371</v>
      </c>
      <c r="B375" s="36" t="s">
        <v>66</v>
      </c>
      <c r="C375" s="43" t="s">
        <v>65</v>
      </c>
      <c r="D375" s="37" t="s">
        <v>3</v>
      </c>
      <c r="E375" s="37" t="s">
        <v>2</v>
      </c>
      <c r="F375" s="37" t="s">
        <v>64</v>
      </c>
      <c r="G375" s="44">
        <v>-3.3165242085614568</v>
      </c>
      <c r="H375" s="44">
        <v>-73.217244403706232</v>
      </c>
      <c r="I375" s="44" t="s">
        <v>689</v>
      </c>
      <c r="J375" s="45">
        <v>102</v>
      </c>
      <c r="K375" s="46">
        <v>107</v>
      </c>
      <c r="L375" s="22" t="s">
        <v>21</v>
      </c>
      <c r="M375" s="47" t="s">
        <v>736</v>
      </c>
      <c r="N375" s="41"/>
    </row>
    <row r="376" spans="1:17" s="86" customFormat="1" ht="45.5" customHeight="1" x14ac:dyDescent="0.35">
      <c r="A376" s="52">
        <f t="shared" si="5"/>
        <v>372</v>
      </c>
      <c r="B376" s="37" t="s">
        <v>633</v>
      </c>
      <c r="C376" s="60" t="s">
        <v>21</v>
      </c>
      <c r="D376" s="37" t="s">
        <v>3</v>
      </c>
      <c r="E376" s="37" t="s">
        <v>2</v>
      </c>
      <c r="F376" s="37" t="s">
        <v>64</v>
      </c>
      <c r="G376" s="61">
        <v>-3.29223</v>
      </c>
      <c r="H376" s="61">
        <v>-72.847999999999999</v>
      </c>
      <c r="I376" s="61" t="s">
        <v>689</v>
      </c>
      <c r="J376" s="37">
        <v>101</v>
      </c>
      <c r="K376" s="83" t="s">
        <v>21</v>
      </c>
      <c r="L376" s="52" t="s">
        <v>21</v>
      </c>
      <c r="M376" s="84" t="s">
        <v>696</v>
      </c>
      <c r="N376" s="85"/>
    </row>
    <row r="377" spans="1:17" s="86" customFormat="1" ht="40.5" customHeight="1" x14ac:dyDescent="0.35">
      <c r="A377" s="52">
        <f t="shared" si="5"/>
        <v>373</v>
      </c>
      <c r="B377" s="52" t="s">
        <v>206</v>
      </c>
      <c r="C377" s="56" t="s">
        <v>21</v>
      </c>
      <c r="D377" s="52" t="s">
        <v>3</v>
      </c>
      <c r="E377" s="52" t="s">
        <v>2</v>
      </c>
      <c r="F377" s="52" t="s">
        <v>64</v>
      </c>
      <c r="G377" s="64">
        <v>-3.3284500000000001</v>
      </c>
      <c r="H377" s="64">
        <v>-73.013400000000004</v>
      </c>
      <c r="I377" s="61" t="s">
        <v>689</v>
      </c>
      <c r="J377" s="37">
        <v>90</v>
      </c>
      <c r="K377" s="96" t="s">
        <v>21</v>
      </c>
      <c r="L377" s="52" t="s">
        <v>21</v>
      </c>
      <c r="M377" s="84" t="s">
        <v>696</v>
      </c>
      <c r="N377" s="20"/>
      <c r="O377" s="19"/>
      <c r="P377" s="101"/>
      <c r="Q377" s="101"/>
    </row>
    <row r="378" spans="1:17" s="86" customFormat="1" ht="40" customHeight="1" x14ac:dyDescent="0.35">
      <c r="A378" s="52">
        <f t="shared" si="5"/>
        <v>374</v>
      </c>
      <c r="B378" s="52" t="s">
        <v>705</v>
      </c>
      <c r="C378" s="56" t="s">
        <v>21</v>
      </c>
      <c r="D378" s="52" t="s">
        <v>3</v>
      </c>
      <c r="E378" s="52" t="s">
        <v>2</v>
      </c>
      <c r="F378" s="52" t="s">
        <v>64</v>
      </c>
      <c r="G378" s="64">
        <v>-3.3606099999999999</v>
      </c>
      <c r="H378" s="64">
        <v>-73.064499999999995</v>
      </c>
      <c r="I378" s="61" t="s">
        <v>689</v>
      </c>
      <c r="J378" s="37">
        <v>100</v>
      </c>
      <c r="K378" s="96" t="s">
        <v>21</v>
      </c>
      <c r="L378" s="52" t="s">
        <v>21</v>
      </c>
      <c r="M378" s="84" t="s">
        <v>696</v>
      </c>
      <c r="N378" s="20"/>
      <c r="O378" s="19"/>
      <c r="P378" s="101"/>
      <c r="Q378" s="101"/>
    </row>
    <row r="379" spans="1:17" s="86" customFormat="1" ht="36.5" customHeight="1" x14ac:dyDescent="0.35">
      <c r="A379" s="52">
        <f t="shared" si="5"/>
        <v>375</v>
      </c>
      <c r="B379" s="52" t="s">
        <v>634</v>
      </c>
      <c r="C379" s="56" t="s">
        <v>21</v>
      </c>
      <c r="D379" s="52" t="s">
        <v>3</v>
      </c>
      <c r="E379" s="52" t="s">
        <v>2</v>
      </c>
      <c r="F379" s="52" t="s">
        <v>64</v>
      </c>
      <c r="G379" s="64">
        <v>-3.42489</v>
      </c>
      <c r="H379" s="64">
        <v>-73.106800000000007</v>
      </c>
      <c r="I379" s="64" t="s">
        <v>689</v>
      </c>
      <c r="J379" s="52">
        <v>96</v>
      </c>
      <c r="K379" s="96" t="s">
        <v>21</v>
      </c>
      <c r="L379" s="52" t="s">
        <v>21</v>
      </c>
      <c r="M379" s="102" t="s">
        <v>632</v>
      </c>
      <c r="N379" s="20"/>
      <c r="O379" s="19"/>
      <c r="P379" s="101"/>
      <c r="Q379" s="101"/>
    </row>
    <row r="380" spans="1:17" s="86" customFormat="1" ht="40.5" customHeight="1" x14ac:dyDescent="0.35">
      <c r="A380" s="52">
        <f t="shared" si="5"/>
        <v>376</v>
      </c>
      <c r="B380" s="52" t="s">
        <v>476</v>
      </c>
      <c r="C380" s="56" t="s">
        <v>21</v>
      </c>
      <c r="D380" s="52" t="s">
        <v>3</v>
      </c>
      <c r="E380" s="52" t="s">
        <v>2</v>
      </c>
      <c r="F380" s="52" t="s">
        <v>64</v>
      </c>
      <c r="G380" s="64">
        <v>-3.5100500000000001</v>
      </c>
      <c r="H380" s="64">
        <v>-73.116399999999999</v>
      </c>
      <c r="I380" s="64" t="s">
        <v>689</v>
      </c>
      <c r="J380" s="52">
        <v>103</v>
      </c>
      <c r="K380" s="96" t="s">
        <v>21</v>
      </c>
      <c r="L380" s="52" t="s">
        <v>21</v>
      </c>
      <c r="M380" s="102" t="s">
        <v>696</v>
      </c>
      <c r="N380" s="41"/>
      <c r="O380" s="42"/>
    </row>
    <row r="381" spans="1:17" s="42" customFormat="1" ht="54.5" customHeight="1" x14ac:dyDescent="0.35">
      <c r="A381" s="22">
        <f t="shared" si="5"/>
        <v>377</v>
      </c>
      <c r="B381" s="50" t="s">
        <v>68</v>
      </c>
      <c r="C381" s="43" t="s">
        <v>67</v>
      </c>
      <c r="D381" s="37" t="s">
        <v>3</v>
      </c>
      <c r="E381" s="37" t="s">
        <v>2</v>
      </c>
      <c r="F381" s="37" t="s">
        <v>64</v>
      </c>
      <c r="G381" s="44">
        <v>-3.4309486239933986</v>
      </c>
      <c r="H381" s="44">
        <v>-73.159716809545472</v>
      </c>
      <c r="I381" s="44" t="s">
        <v>689</v>
      </c>
      <c r="J381" s="45">
        <v>102</v>
      </c>
      <c r="K381" s="46">
        <v>113</v>
      </c>
      <c r="L381" s="22" t="s">
        <v>21</v>
      </c>
      <c r="M381" s="47" t="s">
        <v>736</v>
      </c>
      <c r="N381" s="41"/>
      <c r="O381" s="62"/>
    </row>
    <row r="382" spans="1:17" s="42" customFormat="1" ht="47" customHeight="1" x14ac:dyDescent="0.35">
      <c r="A382" s="45">
        <f t="shared" si="5"/>
        <v>378</v>
      </c>
      <c r="B382" s="36" t="s">
        <v>70</v>
      </c>
      <c r="C382" s="43" t="s">
        <v>69</v>
      </c>
      <c r="D382" s="37" t="s">
        <v>3</v>
      </c>
      <c r="E382" s="37" t="s">
        <v>2</v>
      </c>
      <c r="F382" s="37" t="s">
        <v>64</v>
      </c>
      <c r="G382" s="44">
        <v>-3.2435788901077016</v>
      </c>
      <c r="H382" s="44">
        <v>-72.92976341133155</v>
      </c>
      <c r="I382" s="44" t="s">
        <v>689</v>
      </c>
      <c r="J382" s="45">
        <v>93</v>
      </c>
      <c r="K382" s="46">
        <v>106</v>
      </c>
      <c r="L382" s="22" t="s">
        <v>21</v>
      </c>
      <c r="M382" s="47" t="s">
        <v>736</v>
      </c>
      <c r="N382" s="41"/>
    </row>
    <row r="383" spans="1:17" s="42" customFormat="1" ht="56.5" customHeight="1" x14ac:dyDescent="0.35">
      <c r="A383" s="22">
        <f t="shared" si="5"/>
        <v>379</v>
      </c>
      <c r="B383" s="50" t="s">
        <v>72</v>
      </c>
      <c r="C383" s="43" t="s">
        <v>71</v>
      </c>
      <c r="D383" s="37" t="s">
        <v>3</v>
      </c>
      <c r="E383" s="37" t="s">
        <v>2</v>
      </c>
      <c r="F383" s="37" t="s">
        <v>64</v>
      </c>
      <c r="G383" s="44">
        <v>-3.3166455539267732</v>
      </c>
      <c r="H383" s="44">
        <v>-72.782735803615751</v>
      </c>
      <c r="I383" s="44" t="s">
        <v>689</v>
      </c>
      <c r="J383" s="45">
        <v>98</v>
      </c>
      <c r="K383" s="46">
        <v>107</v>
      </c>
      <c r="L383" s="22" t="s">
        <v>21</v>
      </c>
      <c r="M383" s="47" t="s">
        <v>736</v>
      </c>
      <c r="N383" s="41"/>
    </row>
    <row r="384" spans="1:17" s="42" customFormat="1" ht="55" customHeight="1" x14ac:dyDescent="0.35">
      <c r="A384" s="45">
        <f t="shared" si="5"/>
        <v>380</v>
      </c>
      <c r="B384" s="36" t="s">
        <v>81</v>
      </c>
      <c r="C384" s="43" t="s">
        <v>661</v>
      </c>
      <c r="D384" s="37" t="s">
        <v>3</v>
      </c>
      <c r="E384" s="37" t="s">
        <v>2</v>
      </c>
      <c r="F384" s="37" t="s">
        <v>82</v>
      </c>
      <c r="G384" s="44">
        <v>-2.9065905797083391</v>
      </c>
      <c r="H384" s="44">
        <v>-73.453542549442375</v>
      </c>
      <c r="I384" s="44" t="s">
        <v>689</v>
      </c>
      <c r="J384" s="45">
        <v>119</v>
      </c>
      <c r="K384" s="46">
        <v>112</v>
      </c>
      <c r="L384" s="22" t="s">
        <v>21</v>
      </c>
      <c r="M384" s="47" t="s">
        <v>804</v>
      </c>
      <c r="N384" s="41"/>
    </row>
    <row r="385" spans="1:15" s="42" customFormat="1" ht="55" customHeight="1" x14ac:dyDescent="0.35">
      <c r="A385" s="22">
        <f t="shared" si="5"/>
        <v>381</v>
      </c>
      <c r="B385" s="36" t="s">
        <v>83</v>
      </c>
      <c r="C385" s="43" t="s">
        <v>662</v>
      </c>
      <c r="D385" s="37" t="s">
        <v>3</v>
      </c>
      <c r="E385" s="37" t="s">
        <v>2</v>
      </c>
      <c r="F385" s="37" t="s">
        <v>82</v>
      </c>
      <c r="G385" s="44">
        <v>-2.9192258324118958</v>
      </c>
      <c r="H385" s="44">
        <v>-73.474097118497255</v>
      </c>
      <c r="I385" s="44" t="s">
        <v>689</v>
      </c>
      <c r="J385" s="45">
        <v>106</v>
      </c>
      <c r="K385" s="46">
        <v>115</v>
      </c>
      <c r="L385" s="22" t="s">
        <v>652</v>
      </c>
      <c r="M385" s="47" t="s">
        <v>804</v>
      </c>
      <c r="N385" s="41"/>
    </row>
    <row r="386" spans="1:15" s="42" customFormat="1" ht="58.5" customHeight="1" x14ac:dyDescent="0.35">
      <c r="A386" s="22">
        <f t="shared" si="5"/>
        <v>382</v>
      </c>
      <c r="B386" s="39" t="s">
        <v>84</v>
      </c>
      <c r="C386" s="43" t="s">
        <v>663</v>
      </c>
      <c r="D386" s="37" t="s">
        <v>3</v>
      </c>
      <c r="E386" s="37" t="s">
        <v>2</v>
      </c>
      <c r="F386" s="37" t="s">
        <v>82</v>
      </c>
      <c r="G386" s="44">
        <v>-3.0202680026675695</v>
      </c>
      <c r="H386" s="44">
        <v>-73.389676860612269</v>
      </c>
      <c r="I386" s="44" t="s">
        <v>689</v>
      </c>
      <c r="J386" s="45">
        <v>107</v>
      </c>
      <c r="K386" s="46">
        <v>120</v>
      </c>
      <c r="L386" s="22" t="s">
        <v>21</v>
      </c>
      <c r="M386" s="47" t="s">
        <v>804</v>
      </c>
      <c r="N386" s="41"/>
    </row>
    <row r="387" spans="1:15" s="62" customFormat="1" ht="63" customHeight="1" x14ac:dyDescent="0.35">
      <c r="A387" s="45">
        <f t="shared" si="5"/>
        <v>383</v>
      </c>
      <c r="B387" s="38" t="s">
        <v>85</v>
      </c>
      <c r="C387" s="43" t="s">
        <v>21</v>
      </c>
      <c r="D387" s="87" t="s">
        <v>3</v>
      </c>
      <c r="E387" s="37" t="s">
        <v>2</v>
      </c>
      <c r="F387" s="37" t="s">
        <v>82</v>
      </c>
      <c r="G387" s="44">
        <v>-3.0205719947230407</v>
      </c>
      <c r="H387" s="44">
        <v>-73.387337555791902</v>
      </c>
      <c r="I387" s="44" t="s">
        <v>689</v>
      </c>
      <c r="J387" s="45">
        <v>105</v>
      </c>
      <c r="K387" s="46">
        <v>120</v>
      </c>
      <c r="L387" s="22" t="s">
        <v>652</v>
      </c>
      <c r="M387" s="47" t="s">
        <v>804</v>
      </c>
      <c r="N387" s="41"/>
      <c r="O387" s="42"/>
    </row>
    <row r="388" spans="1:15" s="62" customFormat="1" ht="99.5" customHeight="1" x14ac:dyDescent="0.35">
      <c r="A388" s="22">
        <f t="shared" si="5"/>
        <v>384</v>
      </c>
      <c r="B388" s="36" t="s">
        <v>87</v>
      </c>
      <c r="C388" s="43" t="s">
        <v>86</v>
      </c>
      <c r="D388" s="87" t="s">
        <v>3</v>
      </c>
      <c r="E388" s="37" t="s">
        <v>2</v>
      </c>
      <c r="F388" s="37" t="s">
        <v>82</v>
      </c>
      <c r="G388" s="44">
        <v>-1.5877891417544994</v>
      </c>
      <c r="H388" s="44">
        <v>-75.206126314943276</v>
      </c>
      <c r="I388" s="44" t="s">
        <v>689</v>
      </c>
      <c r="J388" s="45">
        <v>161</v>
      </c>
      <c r="K388" s="46">
        <v>165</v>
      </c>
      <c r="L388" s="22" t="s">
        <v>21</v>
      </c>
      <c r="M388" s="47" t="s">
        <v>803</v>
      </c>
      <c r="N388" s="41"/>
      <c r="O388" s="42"/>
    </row>
    <row r="389" spans="1:15" s="42" customFormat="1" ht="72.5" customHeight="1" x14ac:dyDescent="0.35">
      <c r="A389" s="22">
        <f t="shared" si="5"/>
        <v>385</v>
      </c>
      <c r="B389" s="59" t="s">
        <v>89</v>
      </c>
      <c r="C389" s="45" t="s">
        <v>88</v>
      </c>
      <c r="D389" s="37" t="s">
        <v>3</v>
      </c>
      <c r="E389" s="37" t="s">
        <v>2</v>
      </c>
      <c r="F389" s="37" t="s">
        <v>82</v>
      </c>
      <c r="G389" s="44">
        <v>-2.115698512326019</v>
      </c>
      <c r="H389" s="44">
        <v>-74.862220880498199</v>
      </c>
      <c r="I389" s="44" t="s">
        <v>689</v>
      </c>
      <c r="J389" s="45">
        <v>146</v>
      </c>
      <c r="K389" s="46">
        <v>158</v>
      </c>
      <c r="L389" s="22" t="s">
        <v>21</v>
      </c>
      <c r="M389" s="47" t="s">
        <v>806</v>
      </c>
      <c r="N389" s="41"/>
    </row>
    <row r="390" spans="1:15" s="42" customFormat="1" ht="86" customHeight="1" x14ac:dyDescent="0.35">
      <c r="A390" s="22">
        <f t="shared" ref="A390:A419" si="6">+(A389+1)</f>
        <v>386</v>
      </c>
      <c r="B390" s="59" t="s">
        <v>91</v>
      </c>
      <c r="C390" s="45" t="s">
        <v>90</v>
      </c>
      <c r="D390" s="37" t="s">
        <v>3</v>
      </c>
      <c r="E390" s="37" t="s">
        <v>2</v>
      </c>
      <c r="F390" s="37" t="s">
        <v>82</v>
      </c>
      <c r="G390" s="44">
        <v>-2.1549849669343093</v>
      </c>
      <c r="H390" s="44">
        <v>-74.911481294666174</v>
      </c>
      <c r="I390" s="44" t="s">
        <v>689</v>
      </c>
      <c r="J390" s="45">
        <v>146</v>
      </c>
      <c r="K390" s="46">
        <v>160</v>
      </c>
      <c r="L390" s="22" t="s">
        <v>652</v>
      </c>
      <c r="M390" s="47" t="s">
        <v>805</v>
      </c>
      <c r="N390" s="41"/>
    </row>
    <row r="391" spans="1:15" s="42" customFormat="1" ht="37" customHeight="1" x14ac:dyDescent="0.35">
      <c r="A391" s="22">
        <f t="shared" si="6"/>
        <v>387</v>
      </c>
      <c r="B391" s="68" t="s">
        <v>92</v>
      </c>
      <c r="C391" s="45" t="s">
        <v>21</v>
      </c>
      <c r="D391" s="37" t="s">
        <v>3</v>
      </c>
      <c r="E391" s="37" t="s">
        <v>2</v>
      </c>
      <c r="F391" s="37" t="s">
        <v>82</v>
      </c>
      <c r="G391" s="30">
        <v>-1.9217487882473001</v>
      </c>
      <c r="H391" s="30">
        <v>-75.314449640078095</v>
      </c>
      <c r="I391" s="30" t="s">
        <v>689</v>
      </c>
      <c r="J391" s="45">
        <v>175</v>
      </c>
      <c r="K391" s="46" t="s">
        <v>21</v>
      </c>
      <c r="L391" s="22" t="s">
        <v>21</v>
      </c>
      <c r="M391" s="47" t="s">
        <v>807</v>
      </c>
      <c r="N391" s="41"/>
    </row>
    <row r="392" spans="1:15" s="42" customFormat="1" ht="26" customHeight="1" x14ac:dyDescent="0.35">
      <c r="A392" s="22">
        <f t="shared" si="6"/>
        <v>388</v>
      </c>
      <c r="B392" s="59" t="s">
        <v>93</v>
      </c>
      <c r="C392" s="45" t="s">
        <v>21</v>
      </c>
      <c r="D392" s="37" t="s">
        <v>3</v>
      </c>
      <c r="E392" s="37" t="s">
        <v>2</v>
      </c>
      <c r="F392" s="37" t="s">
        <v>82</v>
      </c>
      <c r="G392" s="44">
        <v>-3.4650271163084065</v>
      </c>
      <c r="H392" s="44">
        <v>-73.046337398747255</v>
      </c>
      <c r="I392" s="44" t="s">
        <v>689</v>
      </c>
      <c r="J392" s="45">
        <v>105</v>
      </c>
      <c r="K392" s="46" t="s">
        <v>21</v>
      </c>
      <c r="L392" s="22" t="s">
        <v>21</v>
      </c>
      <c r="M392" s="40" t="s">
        <v>94</v>
      </c>
      <c r="N392" s="41"/>
    </row>
    <row r="393" spans="1:15" s="42" customFormat="1" ht="52.5" customHeight="1" x14ac:dyDescent="0.35">
      <c r="A393" s="22">
        <f t="shared" si="6"/>
        <v>389</v>
      </c>
      <c r="B393" s="50" t="s">
        <v>96</v>
      </c>
      <c r="C393" s="45" t="s">
        <v>664</v>
      </c>
      <c r="D393" s="37" t="s">
        <v>3</v>
      </c>
      <c r="E393" s="37" t="s">
        <v>2</v>
      </c>
      <c r="F393" s="37" t="s">
        <v>82</v>
      </c>
      <c r="G393" s="44">
        <v>-2.3634108101154219</v>
      </c>
      <c r="H393" s="44">
        <v>-74.111223361688815</v>
      </c>
      <c r="I393" s="44" t="s">
        <v>689</v>
      </c>
      <c r="J393" s="45">
        <v>129</v>
      </c>
      <c r="K393" s="46">
        <v>133</v>
      </c>
      <c r="L393" s="22" t="s">
        <v>21</v>
      </c>
      <c r="M393" s="47" t="s">
        <v>804</v>
      </c>
      <c r="N393" s="41"/>
    </row>
    <row r="394" spans="1:15" s="42" customFormat="1" ht="51" customHeight="1" x14ac:dyDescent="0.35">
      <c r="A394" s="36">
        <f t="shared" si="6"/>
        <v>390</v>
      </c>
      <c r="B394" s="59" t="s">
        <v>97</v>
      </c>
      <c r="C394" s="36" t="s">
        <v>665</v>
      </c>
      <c r="D394" s="37" t="s">
        <v>3</v>
      </c>
      <c r="E394" s="37" t="s">
        <v>2</v>
      </c>
      <c r="F394" s="37" t="s">
        <v>82</v>
      </c>
      <c r="G394" s="44">
        <v>-2.3329424073161511</v>
      </c>
      <c r="H394" s="44">
        <v>-74.095172039356314</v>
      </c>
      <c r="I394" s="44" t="s">
        <v>689</v>
      </c>
      <c r="J394" s="45">
        <v>134</v>
      </c>
      <c r="K394" s="46">
        <v>139</v>
      </c>
      <c r="L394" s="22" t="s">
        <v>652</v>
      </c>
      <c r="M394" s="47" t="s">
        <v>804</v>
      </c>
      <c r="N394" s="41"/>
    </row>
    <row r="395" spans="1:15" s="42" customFormat="1" ht="218" customHeight="1" x14ac:dyDescent="0.35">
      <c r="A395" s="22">
        <f t="shared" si="6"/>
        <v>391</v>
      </c>
      <c r="B395" s="39" t="s">
        <v>73</v>
      </c>
      <c r="C395" s="43" t="s">
        <v>666</v>
      </c>
      <c r="D395" s="37" t="s">
        <v>3</v>
      </c>
      <c r="E395" s="37" t="s">
        <v>2</v>
      </c>
      <c r="F395" s="37" t="s">
        <v>74</v>
      </c>
      <c r="G395" s="44">
        <v>-0.97048151663502058</v>
      </c>
      <c r="H395" s="44">
        <v>-75.179652411647425</v>
      </c>
      <c r="I395" s="44" t="s">
        <v>689</v>
      </c>
      <c r="J395" s="45">
        <v>172</v>
      </c>
      <c r="K395" s="46">
        <v>188</v>
      </c>
      <c r="L395" s="22" t="s">
        <v>21</v>
      </c>
      <c r="M395" s="47" t="s">
        <v>808</v>
      </c>
      <c r="N395" s="41"/>
    </row>
    <row r="396" spans="1:15" s="42" customFormat="1" ht="212" customHeight="1" x14ac:dyDescent="0.35">
      <c r="A396" s="45">
        <f t="shared" si="6"/>
        <v>392</v>
      </c>
      <c r="B396" s="38" t="s">
        <v>76</v>
      </c>
      <c r="C396" s="43" t="s">
        <v>21</v>
      </c>
      <c r="D396" s="37" t="s">
        <v>3</v>
      </c>
      <c r="E396" s="37" t="s">
        <v>2</v>
      </c>
      <c r="F396" s="37" t="s">
        <v>74</v>
      </c>
      <c r="G396" s="44">
        <v>-0.9698210779794344</v>
      </c>
      <c r="H396" s="44">
        <v>-75.179463629191588</v>
      </c>
      <c r="I396" s="44" t="s">
        <v>689</v>
      </c>
      <c r="J396" s="45">
        <v>174</v>
      </c>
      <c r="K396" s="46">
        <v>188</v>
      </c>
      <c r="L396" s="22" t="s">
        <v>21</v>
      </c>
      <c r="M396" s="47" t="s">
        <v>75</v>
      </c>
      <c r="N396" s="41"/>
    </row>
    <row r="397" spans="1:15" s="42" customFormat="1" ht="58.5" customHeight="1" x14ac:dyDescent="0.35">
      <c r="A397" s="22">
        <f t="shared" si="6"/>
        <v>393</v>
      </c>
      <c r="B397" s="36" t="s">
        <v>77</v>
      </c>
      <c r="C397" s="43" t="s">
        <v>667</v>
      </c>
      <c r="D397" s="37" t="s">
        <v>3</v>
      </c>
      <c r="E397" s="37" t="s">
        <v>2</v>
      </c>
      <c r="F397" s="37" t="s">
        <v>74</v>
      </c>
      <c r="G397" s="44">
        <v>-1.1137589807938031</v>
      </c>
      <c r="H397" s="44">
        <v>-75.026677672124478</v>
      </c>
      <c r="I397" s="44" t="s">
        <v>689</v>
      </c>
      <c r="J397" s="45">
        <v>194</v>
      </c>
      <c r="K397" s="46">
        <v>193</v>
      </c>
      <c r="L397" s="22" t="s">
        <v>21</v>
      </c>
      <c r="M397" s="47" t="s">
        <v>804</v>
      </c>
      <c r="N397" s="41"/>
    </row>
    <row r="398" spans="1:15" s="42" customFormat="1" ht="65.5" customHeight="1" x14ac:dyDescent="0.35">
      <c r="A398" s="22">
        <f t="shared" si="6"/>
        <v>394</v>
      </c>
      <c r="B398" s="36" t="s">
        <v>78</v>
      </c>
      <c r="C398" s="43" t="s">
        <v>668</v>
      </c>
      <c r="D398" s="37" t="s">
        <v>3</v>
      </c>
      <c r="E398" s="37" t="s">
        <v>2</v>
      </c>
      <c r="F398" s="37" t="s">
        <v>74</v>
      </c>
      <c r="G398" s="44">
        <v>-1.1209878001356253</v>
      </c>
      <c r="H398" s="44">
        <v>-75.021338594763833</v>
      </c>
      <c r="I398" s="44" t="s">
        <v>689</v>
      </c>
      <c r="J398" s="45">
        <v>168</v>
      </c>
      <c r="K398" s="46">
        <v>178</v>
      </c>
      <c r="L398" s="22" t="s">
        <v>21</v>
      </c>
      <c r="M398" s="47" t="s">
        <v>809</v>
      </c>
      <c r="N398" s="41"/>
    </row>
    <row r="399" spans="1:15" s="42" customFormat="1" ht="67" customHeight="1" x14ac:dyDescent="0.35">
      <c r="A399" s="22">
        <f t="shared" si="6"/>
        <v>395</v>
      </c>
      <c r="B399" s="36" t="s">
        <v>79</v>
      </c>
      <c r="C399" s="43" t="s">
        <v>669</v>
      </c>
      <c r="D399" s="37" t="s">
        <v>3</v>
      </c>
      <c r="E399" s="37" t="s">
        <v>2</v>
      </c>
      <c r="F399" s="37" t="s">
        <v>74</v>
      </c>
      <c r="G399" s="44">
        <v>-1.2829584470373829</v>
      </c>
      <c r="H399" s="44">
        <v>-74.881264570957981</v>
      </c>
      <c r="I399" s="44" t="s">
        <v>689</v>
      </c>
      <c r="J399" s="45">
        <v>155</v>
      </c>
      <c r="K399" s="46">
        <v>160</v>
      </c>
      <c r="L399" s="22" t="s">
        <v>21</v>
      </c>
      <c r="M399" s="47" t="s">
        <v>809</v>
      </c>
      <c r="N399" s="41"/>
    </row>
    <row r="400" spans="1:15" s="42" customFormat="1" ht="67" customHeight="1" x14ac:dyDescent="0.35">
      <c r="A400" s="22">
        <f t="shared" si="6"/>
        <v>396</v>
      </c>
      <c r="B400" s="36" t="s">
        <v>80</v>
      </c>
      <c r="C400" s="43" t="s">
        <v>670</v>
      </c>
      <c r="D400" s="37" t="s">
        <v>3</v>
      </c>
      <c r="E400" s="37" t="s">
        <v>2</v>
      </c>
      <c r="F400" s="37" t="s">
        <v>74</v>
      </c>
      <c r="G400" s="44">
        <v>-1.5670813006205813</v>
      </c>
      <c r="H400" s="44">
        <v>-74.611882930241634</v>
      </c>
      <c r="I400" s="44" t="s">
        <v>689</v>
      </c>
      <c r="J400" s="45">
        <v>154</v>
      </c>
      <c r="K400" s="46">
        <v>181</v>
      </c>
      <c r="L400" s="22" t="s">
        <v>21</v>
      </c>
      <c r="M400" s="47" t="s">
        <v>809</v>
      </c>
      <c r="N400" s="41"/>
    </row>
    <row r="401" spans="1:57" s="42" customFormat="1" ht="52.5" customHeight="1" x14ac:dyDescent="0.35">
      <c r="A401" s="22">
        <f t="shared" si="6"/>
        <v>397</v>
      </c>
      <c r="B401" s="36" t="s">
        <v>95</v>
      </c>
      <c r="C401" s="45" t="s">
        <v>671</v>
      </c>
      <c r="D401" s="37" t="s">
        <v>3</v>
      </c>
      <c r="E401" s="37" t="s">
        <v>2</v>
      </c>
      <c r="F401" s="37" t="s">
        <v>74</v>
      </c>
      <c r="G401" s="44">
        <v>-0.72080941169245716</v>
      </c>
      <c r="H401" s="44">
        <v>-75.265443497864311</v>
      </c>
      <c r="I401" s="44" t="s">
        <v>689</v>
      </c>
      <c r="J401" s="45">
        <v>188</v>
      </c>
      <c r="K401" s="46">
        <v>208</v>
      </c>
      <c r="L401" s="45" t="s">
        <v>21</v>
      </c>
      <c r="M401" s="47" t="s">
        <v>804</v>
      </c>
      <c r="N401" s="41"/>
    </row>
    <row r="402" spans="1:57" s="42" customFormat="1" ht="39.5" customHeight="1" x14ac:dyDescent="0.35">
      <c r="A402" s="34">
        <f t="shared" si="6"/>
        <v>398</v>
      </c>
      <c r="B402" s="35" t="s">
        <v>16</v>
      </c>
      <c r="C402" s="36" t="s">
        <v>21</v>
      </c>
      <c r="D402" s="37" t="s">
        <v>3</v>
      </c>
      <c r="E402" s="37" t="s">
        <v>2</v>
      </c>
      <c r="F402" s="37" t="s">
        <v>17</v>
      </c>
      <c r="G402" s="30">
        <v>-3.4006659066226601</v>
      </c>
      <c r="H402" s="30">
        <v>-72.724947438903897</v>
      </c>
      <c r="I402" s="30" t="s">
        <v>688</v>
      </c>
      <c r="J402" s="38">
        <v>101</v>
      </c>
      <c r="K402" s="39" t="s">
        <v>21</v>
      </c>
      <c r="L402" s="22" t="s">
        <v>21</v>
      </c>
      <c r="M402" s="40" t="s">
        <v>810</v>
      </c>
      <c r="N402" s="41"/>
    </row>
    <row r="403" spans="1:57" s="42" customFormat="1" ht="68.5" customHeight="1" x14ac:dyDescent="0.35">
      <c r="A403" s="22">
        <f t="shared" si="6"/>
        <v>399</v>
      </c>
      <c r="B403" s="36" t="s">
        <v>30</v>
      </c>
      <c r="C403" s="43" t="s">
        <v>21</v>
      </c>
      <c r="D403" s="37" t="s">
        <v>3</v>
      </c>
      <c r="E403" s="37" t="s">
        <v>2</v>
      </c>
      <c r="F403" s="37" t="s">
        <v>17</v>
      </c>
      <c r="G403" s="44">
        <v>-3.4772880791771597</v>
      </c>
      <c r="H403" s="44">
        <v>-72.507733212172894</v>
      </c>
      <c r="I403" s="44" t="s">
        <v>689</v>
      </c>
      <c r="J403" s="45">
        <v>86</v>
      </c>
      <c r="K403" s="46">
        <v>103</v>
      </c>
      <c r="L403" s="22" t="s">
        <v>21</v>
      </c>
      <c r="M403" s="47" t="s">
        <v>715</v>
      </c>
      <c r="N403" s="41"/>
    </row>
    <row r="404" spans="1:57" s="86" customFormat="1" ht="39.5" customHeight="1" x14ac:dyDescent="0.35">
      <c r="A404" s="52">
        <f t="shared" si="6"/>
        <v>400</v>
      </c>
      <c r="B404" s="37" t="s">
        <v>631</v>
      </c>
      <c r="C404" s="60" t="s">
        <v>21</v>
      </c>
      <c r="D404" s="37" t="s">
        <v>3</v>
      </c>
      <c r="E404" s="37" t="s">
        <v>2</v>
      </c>
      <c r="F404" s="37" t="s">
        <v>17</v>
      </c>
      <c r="G404" s="61">
        <v>-3.4605600000000001</v>
      </c>
      <c r="H404" s="61">
        <v>-72.528199999999998</v>
      </c>
      <c r="I404" s="61" t="s">
        <v>689</v>
      </c>
      <c r="J404" s="37">
        <v>92</v>
      </c>
      <c r="K404" s="83" t="s">
        <v>21</v>
      </c>
      <c r="L404" s="52" t="s">
        <v>21</v>
      </c>
      <c r="M404" s="84" t="s">
        <v>696</v>
      </c>
      <c r="N404" s="41"/>
      <c r="O404" s="42"/>
    </row>
    <row r="405" spans="1:57" s="86" customFormat="1" ht="41" customHeight="1" x14ac:dyDescent="0.35">
      <c r="A405" s="52">
        <f t="shared" si="6"/>
        <v>401</v>
      </c>
      <c r="B405" s="52" t="s">
        <v>645</v>
      </c>
      <c r="C405" s="56" t="s">
        <v>21</v>
      </c>
      <c r="D405" s="52" t="s">
        <v>3</v>
      </c>
      <c r="E405" s="52" t="s">
        <v>2</v>
      </c>
      <c r="F405" s="52" t="s">
        <v>17</v>
      </c>
      <c r="G405" s="64">
        <v>-3.4638800000000001</v>
      </c>
      <c r="H405" s="64">
        <v>-72.527299999999997</v>
      </c>
      <c r="I405" s="64" t="s">
        <v>689</v>
      </c>
      <c r="J405" s="52">
        <v>88</v>
      </c>
      <c r="K405" s="96" t="s">
        <v>21</v>
      </c>
      <c r="L405" s="52" t="s">
        <v>21</v>
      </c>
      <c r="M405" s="102" t="s">
        <v>696</v>
      </c>
      <c r="N405" s="41"/>
      <c r="O405" s="42"/>
    </row>
    <row r="406" spans="1:57" s="42" customFormat="1" ht="55" customHeight="1" x14ac:dyDescent="0.35">
      <c r="A406" s="22">
        <f t="shared" si="6"/>
        <v>402</v>
      </c>
      <c r="B406" s="36" t="s">
        <v>61</v>
      </c>
      <c r="C406" s="45" t="s">
        <v>21</v>
      </c>
      <c r="D406" s="37" t="s">
        <v>3</v>
      </c>
      <c r="E406" s="37" t="s">
        <v>2</v>
      </c>
      <c r="F406" s="37" t="s">
        <v>17</v>
      </c>
      <c r="G406" s="51">
        <v>-3.4005417595420164</v>
      </c>
      <c r="H406" s="53">
        <v>-72.725955241565927</v>
      </c>
      <c r="I406" s="44" t="s">
        <v>689</v>
      </c>
      <c r="J406" s="45">
        <v>104</v>
      </c>
      <c r="K406" s="46">
        <v>93</v>
      </c>
      <c r="L406" s="22" t="s">
        <v>21</v>
      </c>
      <c r="M406" s="40" t="s">
        <v>796</v>
      </c>
      <c r="N406" s="41"/>
    </row>
    <row r="407" spans="1:57" s="62" customFormat="1" ht="63.5" customHeight="1" x14ac:dyDescent="0.35">
      <c r="A407" s="22">
        <f t="shared" si="6"/>
        <v>403</v>
      </c>
      <c r="B407" s="36" t="s">
        <v>18</v>
      </c>
      <c r="C407" s="45" t="s">
        <v>21</v>
      </c>
      <c r="D407" s="87" t="s">
        <v>3</v>
      </c>
      <c r="E407" s="82" t="s">
        <v>20</v>
      </c>
      <c r="F407" s="37" t="s">
        <v>19</v>
      </c>
      <c r="G407" s="44">
        <v>-4.015973505284693</v>
      </c>
      <c r="H407" s="44">
        <v>-77.119621107447855</v>
      </c>
      <c r="I407" s="44" t="s">
        <v>689</v>
      </c>
      <c r="J407" s="45">
        <v>174</v>
      </c>
      <c r="K407" s="46" t="s">
        <v>21</v>
      </c>
      <c r="L407" s="22" t="s">
        <v>21</v>
      </c>
      <c r="M407" s="106" t="s">
        <v>811</v>
      </c>
      <c r="N407" s="41"/>
    </row>
    <row r="408" spans="1:57" s="42" customFormat="1" ht="66" customHeight="1" x14ac:dyDescent="0.35">
      <c r="A408" s="22">
        <f t="shared" si="6"/>
        <v>404</v>
      </c>
      <c r="B408" s="50" t="s">
        <v>22</v>
      </c>
      <c r="C408" s="45" t="s">
        <v>21</v>
      </c>
      <c r="D408" s="37" t="s">
        <v>3</v>
      </c>
      <c r="E408" s="82" t="s">
        <v>20</v>
      </c>
      <c r="F408" s="37" t="s">
        <v>19</v>
      </c>
      <c r="G408" s="44">
        <v>-4.0151706144292465</v>
      </c>
      <c r="H408" s="44">
        <v>-77.122427833625238</v>
      </c>
      <c r="I408" s="44" t="s">
        <v>689</v>
      </c>
      <c r="J408" s="45">
        <v>176</v>
      </c>
      <c r="K408" s="46" t="s">
        <v>21</v>
      </c>
      <c r="L408" s="22" t="s">
        <v>21</v>
      </c>
      <c r="M408" s="106" t="s">
        <v>812</v>
      </c>
      <c r="N408" s="41"/>
    </row>
    <row r="409" spans="1:57" s="42" customFormat="1" ht="54" customHeight="1" x14ac:dyDescent="0.35">
      <c r="A409" s="22">
        <f t="shared" si="6"/>
        <v>405</v>
      </c>
      <c r="B409" s="34" t="s">
        <v>47</v>
      </c>
      <c r="C409" s="51" t="s">
        <v>21</v>
      </c>
      <c r="D409" s="52" t="s">
        <v>3</v>
      </c>
      <c r="E409" s="103" t="s">
        <v>20</v>
      </c>
      <c r="F409" s="56" t="s">
        <v>48</v>
      </c>
      <c r="G409" s="32">
        <v>-3.94203361099229</v>
      </c>
      <c r="H409" s="32">
        <v>-70.449381834516799</v>
      </c>
      <c r="I409" s="32" t="s">
        <v>689</v>
      </c>
      <c r="J409" s="22">
        <v>73</v>
      </c>
      <c r="K409" s="54" t="s">
        <v>21</v>
      </c>
      <c r="L409" s="22" t="s">
        <v>21</v>
      </c>
      <c r="M409" s="55" t="s">
        <v>815</v>
      </c>
      <c r="N409" s="41"/>
    </row>
    <row r="410" spans="1:57" s="42" customFormat="1" ht="79.5" customHeight="1" x14ac:dyDescent="0.35">
      <c r="A410" s="22">
        <f t="shared" si="6"/>
        <v>406</v>
      </c>
      <c r="B410" s="36" t="s">
        <v>49</v>
      </c>
      <c r="C410" s="43" t="s">
        <v>21</v>
      </c>
      <c r="D410" s="37" t="s">
        <v>3</v>
      </c>
      <c r="E410" s="82" t="s">
        <v>20</v>
      </c>
      <c r="F410" s="60" t="s">
        <v>48</v>
      </c>
      <c r="G410" s="30">
        <v>-3.9382569060730002</v>
      </c>
      <c r="H410" s="28">
        <v>-70.447268125029694</v>
      </c>
      <c r="I410" s="28" t="s">
        <v>688</v>
      </c>
      <c r="J410" s="48">
        <v>69</v>
      </c>
      <c r="K410" s="44" t="s">
        <v>21</v>
      </c>
      <c r="L410" s="45" t="s">
        <v>651</v>
      </c>
      <c r="M410" s="47" t="s">
        <v>814</v>
      </c>
      <c r="N410" s="41"/>
    </row>
    <row r="411" spans="1:57" s="42" customFormat="1" ht="56.5" customHeight="1" x14ac:dyDescent="0.35">
      <c r="A411" s="22">
        <f t="shared" si="6"/>
        <v>407</v>
      </c>
      <c r="B411" s="36" t="s">
        <v>50</v>
      </c>
      <c r="C411" s="43" t="s">
        <v>21</v>
      </c>
      <c r="D411" s="37" t="s">
        <v>3</v>
      </c>
      <c r="E411" s="82" t="s">
        <v>20</v>
      </c>
      <c r="F411" s="60" t="s">
        <v>48</v>
      </c>
      <c r="G411" s="30">
        <v>-3.94912329361645</v>
      </c>
      <c r="H411" s="28">
        <v>-70.386465489381095</v>
      </c>
      <c r="I411" s="28" t="s">
        <v>689</v>
      </c>
      <c r="J411" s="48">
        <v>85</v>
      </c>
      <c r="K411" s="44" t="s">
        <v>21</v>
      </c>
      <c r="L411" s="22" t="s">
        <v>21</v>
      </c>
      <c r="M411" s="47" t="s">
        <v>813</v>
      </c>
      <c r="N411" s="41"/>
    </row>
    <row r="412" spans="1:57" s="42" customFormat="1" ht="57" customHeight="1" x14ac:dyDescent="0.35">
      <c r="A412" s="22">
        <f t="shared" si="6"/>
        <v>408</v>
      </c>
      <c r="B412" s="36" t="s">
        <v>51</v>
      </c>
      <c r="C412" s="43" t="s">
        <v>21</v>
      </c>
      <c r="D412" s="37" t="s">
        <v>3</v>
      </c>
      <c r="E412" s="82" t="s">
        <v>20</v>
      </c>
      <c r="F412" s="60" t="s">
        <v>48</v>
      </c>
      <c r="G412" s="30">
        <v>-3.9451814691007798</v>
      </c>
      <c r="H412" s="30">
        <v>-70.358263123163496</v>
      </c>
      <c r="I412" s="30" t="s">
        <v>689</v>
      </c>
      <c r="J412" s="48">
        <v>73</v>
      </c>
      <c r="K412" s="44" t="s">
        <v>21</v>
      </c>
      <c r="L412" s="22" t="s">
        <v>21</v>
      </c>
      <c r="M412" s="47" t="s">
        <v>815</v>
      </c>
      <c r="N412" s="41"/>
    </row>
    <row r="413" spans="1:57" s="105" customFormat="1" ht="64" customHeight="1" x14ac:dyDescent="0.35">
      <c r="A413" s="22">
        <f t="shared" si="6"/>
        <v>409</v>
      </c>
      <c r="B413" s="39" t="s">
        <v>52</v>
      </c>
      <c r="C413" s="43" t="s">
        <v>21</v>
      </c>
      <c r="D413" s="87" t="s">
        <v>3</v>
      </c>
      <c r="E413" s="82" t="s">
        <v>20</v>
      </c>
      <c r="F413" s="37" t="s">
        <v>48</v>
      </c>
      <c r="G413" s="29">
        <v>-3.9343677225491098</v>
      </c>
      <c r="H413" s="32">
        <v>-70.421209884744997</v>
      </c>
      <c r="I413" s="32" t="s">
        <v>689</v>
      </c>
      <c r="J413" s="45">
        <v>72</v>
      </c>
      <c r="K413" s="46" t="s">
        <v>21</v>
      </c>
      <c r="L413" s="22" t="s">
        <v>21</v>
      </c>
      <c r="M413" s="40" t="s">
        <v>815</v>
      </c>
      <c r="N413" s="20"/>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row>
    <row r="414" spans="1:57" s="86" customFormat="1" ht="37" customHeight="1" x14ac:dyDescent="0.35">
      <c r="A414" s="37">
        <f t="shared" si="6"/>
        <v>410</v>
      </c>
      <c r="B414" s="37" t="s">
        <v>99</v>
      </c>
      <c r="C414" s="25" t="s">
        <v>98</v>
      </c>
      <c r="D414" s="37" t="s">
        <v>3</v>
      </c>
      <c r="E414" s="37" t="s">
        <v>100</v>
      </c>
      <c r="F414" s="37" t="s">
        <v>100</v>
      </c>
      <c r="G414" s="44">
        <v>-2.4439309658556696</v>
      </c>
      <c r="H414" s="44">
        <v>-72.660671642784763</v>
      </c>
      <c r="I414" s="44" t="s">
        <v>689</v>
      </c>
      <c r="J414" s="37">
        <v>108</v>
      </c>
      <c r="K414" s="83">
        <v>113</v>
      </c>
      <c r="L414" s="52" t="s">
        <v>21</v>
      </c>
      <c r="M414" s="84" t="s">
        <v>101</v>
      </c>
      <c r="N414" s="41"/>
      <c r="O414" s="42"/>
    </row>
    <row r="415" spans="1:57" s="86" customFormat="1" ht="37" customHeight="1" x14ac:dyDescent="0.35">
      <c r="A415" s="52">
        <f t="shared" si="6"/>
        <v>411</v>
      </c>
      <c r="B415" s="83" t="s">
        <v>103</v>
      </c>
      <c r="C415" s="6" t="s">
        <v>102</v>
      </c>
      <c r="D415" s="37" t="s">
        <v>3</v>
      </c>
      <c r="E415" s="37" t="s">
        <v>100</v>
      </c>
      <c r="F415" s="37" t="s">
        <v>100</v>
      </c>
      <c r="G415" s="44">
        <v>-2.4446073681553502</v>
      </c>
      <c r="H415" s="44">
        <v>-72.664939473437343</v>
      </c>
      <c r="I415" s="44" t="s">
        <v>689</v>
      </c>
      <c r="J415" s="37">
        <v>112</v>
      </c>
      <c r="K415" s="83">
        <v>127</v>
      </c>
      <c r="L415" s="52" t="s">
        <v>21</v>
      </c>
      <c r="M415" s="84" t="s">
        <v>101</v>
      </c>
      <c r="N415" s="41"/>
      <c r="O415" s="42"/>
    </row>
    <row r="416" spans="1:57" s="86" customFormat="1" ht="41.5" customHeight="1" x14ac:dyDescent="0.35">
      <c r="A416" s="37">
        <f t="shared" si="6"/>
        <v>412</v>
      </c>
      <c r="B416" s="83" t="s">
        <v>105</v>
      </c>
      <c r="C416" s="6" t="s">
        <v>104</v>
      </c>
      <c r="D416" s="37" t="s">
        <v>3</v>
      </c>
      <c r="E416" s="37" t="s">
        <v>100</v>
      </c>
      <c r="F416" s="37" t="s">
        <v>100</v>
      </c>
      <c r="G416" s="44">
        <v>-2.4457325373104974</v>
      </c>
      <c r="H416" s="44">
        <v>-72.66737311330192</v>
      </c>
      <c r="I416" s="44" t="s">
        <v>689</v>
      </c>
      <c r="J416" s="37">
        <v>111</v>
      </c>
      <c r="K416" s="83">
        <v>120</v>
      </c>
      <c r="L416" s="52" t="s">
        <v>21</v>
      </c>
      <c r="M416" s="84" t="s">
        <v>101</v>
      </c>
      <c r="N416" s="41"/>
      <c r="O416" s="42"/>
    </row>
    <row r="417" spans="1:15" s="86" customFormat="1" ht="41.5" customHeight="1" x14ac:dyDescent="0.35">
      <c r="A417" s="37">
        <f t="shared" si="6"/>
        <v>413</v>
      </c>
      <c r="B417" s="83" t="s">
        <v>107</v>
      </c>
      <c r="C417" s="6" t="s">
        <v>106</v>
      </c>
      <c r="D417" s="37" t="s">
        <v>3</v>
      </c>
      <c r="E417" s="37" t="s">
        <v>100</v>
      </c>
      <c r="F417" s="37" t="s">
        <v>108</v>
      </c>
      <c r="G417" s="44">
        <v>-1.0024076329093758</v>
      </c>
      <c r="H417" s="44">
        <v>-74.283306605220105</v>
      </c>
      <c r="I417" s="44" t="s">
        <v>689</v>
      </c>
      <c r="J417" s="37">
        <v>157</v>
      </c>
      <c r="K417" s="83">
        <v>155</v>
      </c>
      <c r="L417" s="52" t="s">
        <v>21</v>
      </c>
      <c r="M417" s="84" t="s">
        <v>101</v>
      </c>
      <c r="N417" s="41"/>
      <c r="O417" s="42"/>
    </row>
    <row r="418" spans="1:15" s="86" customFormat="1" ht="41" customHeight="1" x14ac:dyDescent="0.35">
      <c r="A418" s="37">
        <f t="shared" si="6"/>
        <v>414</v>
      </c>
      <c r="B418" s="37" t="s">
        <v>110</v>
      </c>
      <c r="C418" s="6" t="s">
        <v>109</v>
      </c>
      <c r="D418" s="37" t="s">
        <v>3</v>
      </c>
      <c r="E418" s="37" t="s">
        <v>100</v>
      </c>
      <c r="F418" s="37" t="s">
        <v>108</v>
      </c>
      <c r="G418" s="44">
        <v>-0.37305986271995412</v>
      </c>
      <c r="H418" s="44">
        <v>-74.674342137607653</v>
      </c>
      <c r="I418" s="44" t="s">
        <v>689</v>
      </c>
      <c r="J418" s="37">
        <v>177</v>
      </c>
      <c r="K418" s="83">
        <v>190</v>
      </c>
      <c r="L418" s="52" t="s">
        <v>21</v>
      </c>
      <c r="M418" s="84" t="s">
        <v>101</v>
      </c>
      <c r="N418" s="41"/>
      <c r="O418" s="42"/>
    </row>
    <row r="419" spans="1:15" s="86" customFormat="1" ht="39" customHeight="1" x14ac:dyDescent="0.35">
      <c r="A419" s="52">
        <f t="shared" si="6"/>
        <v>415</v>
      </c>
      <c r="B419" s="37" t="s">
        <v>112</v>
      </c>
      <c r="C419" s="6" t="s">
        <v>111</v>
      </c>
      <c r="D419" s="37" t="s">
        <v>3</v>
      </c>
      <c r="E419" s="37" t="s">
        <v>100</v>
      </c>
      <c r="F419" s="37" t="s">
        <v>108</v>
      </c>
      <c r="G419" s="44">
        <v>-0.37303272424442302</v>
      </c>
      <c r="H419" s="44">
        <v>-74.674423019721033</v>
      </c>
      <c r="I419" s="44" t="s">
        <v>689</v>
      </c>
      <c r="J419" s="37">
        <v>177</v>
      </c>
      <c r="K419" s="83">
        <v>180</v>
      </c>
      <c r="L419" s="52" t="s">
        <v>21</v>
      </c>
      <c r="M419" s="84" t="s">
        <v>101</v>
      </c>
      <c r="N419" s="41"/>
      <c r="O419" s="42"/>
    </row>
    <row r="420" spans="1:15" s="1" customFormat="1" x14ac:dyDescent="0.35"/>
    <row r="421" spans="1:15" s="1" customFormat="1" x14ac:dyDescent="0.35">
      <c r="B421" s="107"/>
      <c r="C421" s="108"/>
      <c r="D421" s="3"/>
      <c r="E421" s="3"/>
      <c r="F421" s="3"/>
      <c r="G421" s="17"/>
      <c r="H421" s="17"/>
      <c r="I421" s="17"/>
      <c r="J421" s="3"/>
      <c r="K421" s="3"/>
      <c r="L421" s="3"/>
      <c r="N421" s="107"/>
    </row>
    <row r="422" spans="1:15" s="1" customFormat="1" x14ac:dyDescent="0.35">
      <c r="B422" s="107"/>
      <c r="C422" s="108"/>
      <c r="D422" s="3"/>
      <c r="E422" s="3"/>
      <c r="F422" s="3"/>
      <c r="G422" s="17"/>
      <c r="H422" s="17"/>
      <c r="I422" s="17"/>
      <c r="J422" s="3"/>
      <c r="K422" s="3"/>
      <c r="L422" s="3"/>
      <c r="N422" s="107"/>
    </row>
    <row r="423" spans="1:15" s="1" customFormat="1" x14ac:dyDescent="0.35">
      <c r="B423" s="107"/>
      <c r="C423" s="108"/>
      <c r="D423" s="3"/>
      <c r="E423" s="3"/>
      <c r="F423" s="3"/>
      <c r="G423" s="17"/>
      <c r="H423" s="17"/>
      <c r="I423" s="17"/>
      <c r="J423" s="3"/>
      <c r="K423" s="3"/>
      <c r="L423" s="3"/>
      <c r="N423" s="107"/>
    </row>
    <row r="424" spans="1:15" s="1" customFormat="1" x14ac:dyDescent="0.35">
      <c r="D424" s="3"/>
      <c r="E424" s="3"/>
      <c r="F424" s="3"/>
      <c r="G424" s="17"/>
      <c r="H424" s="17"/>
      <c r="I424" s="17"/>
      <c r="J424" s="3"/>
      <c r="K424" s="3"/>
      <c r="L424" s="3"/>
      <c r="N424" s="107"/>
    </row>
    <row r="425" spans="1:15" s="1" customFormat="1" x14ac:dyDescent="0.35">
      <c r="D425" s="3"/>
      <c r="E425" s="3"/>
      <c r="F425" s="3"/>
      <c r="G425" s="17"/>
      <c r="H425" s="17"/>
      <c r="I425" s="17"/>
      <c r="J425" s="3"/>
      <c r="K425" s="3"/>
      <c r="L425" s="3"/>
      <c r="N425" s="107"/>
    </row>
    <row r="426" spans="1:15" s="1" customFormat="1" x14ac:dyDescent="0.35">
      <c r="D426" s="3"/>
      <c r="E426" s="3"/>
      <c r="F426" s="3"/>
      <c r="G426" s="17"/>
      <c r="H426" s="17"/>
      <c r="I426" s="17"/>
      <c r="J426" s="3"/>
      <c r="K426" s="3"/>
      <c r="L426" s="3"/>
      <c r="N426" s="107"/>
    </row>
  </sheetData>
  <sortState xmlns:xlrd2="http://schemas.microsoft.com/office/spreadsheetml/2017/richdata2" ref="E142:F420">
    <sortCondition ref="E142:E420"/>
    <sortCondition ref="F142:F420"/>
  </sortState>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dc:creator>
  <cp:lastModifiedBy>Oliver</cp:lastModifiedBy>
  <dcterms:created xsi:type="dcterms:W3CDTF">2020-10-15T19:57:19Z</dcterms:created>
  <dcterms:modified xsi:type="dcterms:W3CDTF">2021-01-08T14:27:39Z</dcterms:modified>
</cp:coreProperties>
</file>